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seleong_indracompany_com/Documents/Documentos/Sergio/Tesis/Cotizantes salud contributivo subsidiado y excepción/"/>
    </mc:Choice>
  </mc:AlternateContent>
  <xr:revisionPtr revIDLastSave="0" documentId="8_{5C7F66DF-B9EE-438A-9FA4-F550C80F76A1}" xr6:coauthVersionLast="47" xr6:coauthVersionMax="47" xr10:uidLastSave="{00000000-0000-0000-0000-000000000000}"/>
  <bookViews>
    <workbookView xWindow="-110" yWindow="-110" windowWidth="19420" windowHeight="11500" xr2:uid="{E8DAE24C-49A1-4CB2-B106-2D74C99498D0}"/>
  </bookViews>
  <sheets>
    <sheet name="CIFRAS MINSALU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1" i="1" l="1"/>
  <c r="K211" i="1" s="1"/>
  <c r="H210" i="1"/>
  <c r="K210" i="1" s="1"/>
  <c r="H209" i="1"/>
  <c r="K209" i="1" s="1"/>
  <c r="H208" i="1"/>
  <c r="K208" i="1" s="1"/>
  <c r="H207" i="1"/>
  <c r="K207" i="1" s="1"/>
  <c r="H206" i="1"/>
  <c r="K206" i="1" s="1"/>
  <c r="H205" i="1"/>
  <c r="K205" i="1" s="1"/>
  <c r="H204" i="1"/>
  <c r="K204" i="1" s="1"/>
  <c r="H203" i="1"/>
  <c r="K203" i="1" s="1"/>
  <c r="H202" i="1"/>
  <c r="K202" i="1" s="1"/>
  <c r="H201" i="1"/>
  <c r="K201" i="1" s="1"/>
  <c r="H200" i="1"/>
  <c r="K200" i="1" s="1"/>
  <c r="H199" i="1"/>
  <c r="K199" i="1" s="1"/>
  <c r="H198" i="1"/>
  <c r="K198" i="1" s="1"/>
  <c r="H197" i="1"/>
  <c r="K197" i="1" s="1"/>
  <c r="H196" i="1"/>
  <c r="K196" i="1" s="1"/>
  <c r="H195" i="1"/>
  <c r="K195" i="1" s="1"/>
  <c r="H194" i="1"/>
  <c r="K194" i="1" s="1"/>
  <c r="H193" i="1"/>
  <c r="K193" i="1" s="1"/>
  <c r="H192" i="1"/>
  <c r="K192" i="1" s="1"/>
  <c r="H191" i="1"/>
  <c r="K191" i="1" s="1"/>
  <c r="H190" i="1"/>
  <c r="K190" i="1" s="1"/>
  <c r="H189" i="1"/>
  <c r="K189" i="1" s="1"/>
  <c r="H188" i="1"/>
  <c r="K188" i="1" s="1"/>
  <c r="H187" i="1"/>
  <c r="K187" i="1" s="1"/>
  <c r="H186" i="1"/>
  <c r="K186" i="1" s="1"/>
  <c r="H185" i="1"/>
  <c r="K185" i="1" s="1"/>
  <c r="H184" i="1"/>
  <c r="K184" i="1" s="1"/>
  <c r="H183" i="1"/>
  <c r="K183" i="1" s="1"/>
  <c r="H182" i="1"/>
  <c r="K182" i="1" s="1"/>
  <c r="H181" i="1"/>
  <c r="K181" i="1" s="1"/>
  <c r="H180" i="1"/>
  <c r="K180" i="1" s="1"/>
  <c r="H179" i="1"/>
  <c r="K179" i="1" s="1"/>
  <c r="H178" i="1"/>
  <c r="K178" i="1" s="1"/>
  <c r="H177" i="1"/>
  <c r="K177" i="1" s="1"/>
  <c r="H176" i="1"/>
  <c r="K176" i="1" s="1"/>
  <c r="H175" i="1"/>
  <c r="K175" i="1" s="1"/>
  <c r="H174" i="1"/>
  <c r="K174" i="1" s="1"/>
  <c r="H173" i="1"/>
  <c r="K173" i="1" s="1"/>
  <c r="H172" i="1"/>
  <c r="K172" i="1" s="1"/>
  <c r="H171" i="1"/>
  <c r="K171" i="1" s="1"/>
  <c r="H170" i="1"/>
  <c r="K170" i="1" s="1"/>
  <c r="H169" i="1"/>
  <c r="K169" i="1" s="1"/>
  <c r="H168" i="1"/>
  <c r="K168" i="1" s="1"/>
  <c r="H167" i="1"/>
  <c r="K167" i="1" s="1"/>
  <c r="H166" i="1"/>
  <c r="K166" i="1" s="1"/>
  <c r="H165" i="1"/>
  <c r="K165" i="1" s="1"/>
  <c r="H164" i="1"/>
  <c r="K164" i="1" s="1"/>
  <c r="H163" i="1"/>
  <c r="K163" i="1" s="1"/>
  <c r="H162" i="1"/>
  <c r="K162" i="1" s="1"/>
  <c r="H161" i="1"/>
  <c r="K161" i="1" s="1"/>
  <c r="H160" i="1"/>
  <c r="K160" i="1" s="1"/>
  <c r="H159" i="1"/>
  <c r="K159" i="1" s="1"/>
  <c r="H158" i="1"/>
  <c r="K158" i="1" s="1"/>
  <c r="H157" i="1"/>
  <c r="K157" i="1" s="1"/>
  <c r="H156" i="1"/>
  <c r="K156" i="1" s="1"/>
  <c r="H155" i="1"/>
  <c r="K155" i="1" s="1"/>
  <c r="H154" i="1"/>
  <c r="K154" i="1" s="1"/>
  <c r="H153" i="1"/>
  <c r="K153" i="1" s="1"/>
  <c r="H152" i="1"/>
  <c r="K152" i="1" s="1"/>
  <c r="H151" i="1"/>
  <c r="K151" i="1" s="1"/>
  <c r="H150" i="1"/>
  <c r="K150" i="1" s="1"/>
  <c r="H149" i="1"/>
  <c r="K149" i="1" s="1"/>
  <c r="H148" i="1"/>
  <c r="K148" i="1" s="1"/>
  <c r="H147" i="1"/>
  <c r="K147" i="1" s="1"/>
  <c r="H146" i="1"/>
  <c r="K146" i="1" s="1"/>
  <c r="H145" i="1"/>
  <c r="K145" i="1" s="1"/>
  <c r="H144" i="1"/>
  <c r="K144" i="1" s="1"/>
  <c r="H143" i="1"/>
  <c r="K143" i="1" s="1"/>
  <c r="H142" i="1"/>
  <c r="K142" i="1" s="1"/>
  <c r="H141" i="1"/>
  <c r="K141" i="1" s="1"/>
  <c r="H140" i="1"/>
  <c r="K140" i="1" s="1"/>
  <c r="H139" i="1"/>
  <c r="K139" i="1" s="1"/>
  <c r="H138" i="1"/>
  <c r="K138" i="1" s="1"/>
  <c r="H137" i="1"/>
  <c r="K137" i="1" s="1"/>
  <c r="H136" i="1"/>
  <c r="K136" i="1" s="1"/>
  <c r="H135" i="1"/>
  <c r="K135" i="1" s="1"/>
  <c r="H134" i="1"/>
  <c r="K134" i="1" s="1"/>
  <c r="H133" i="1"/>
  <c r="K133" i="1" s="1"/>
  <c r="H132" i="1"/>
  <c r="K132" i="1" s="1"/>
  <c r="H131" i="1"/>
  <c r="K131" i="1" s="1"/>
  <c r="H130" i="1"/>
  <c r="K130" i="1" s="1"/>
  <c r="H129" i="1"/>
  <c r="K129" i="1" s="1"/>
  <c r="H128" i="1"/>
  <c r="K128" i="1" s="1"/>
  <c r="H127" i="1"/>
  <c r="K127" i="1" s="1"/>
  <c r="H126" i="1"/>
  <c r="K126" i="1" s="1"/>
  <c r="H125" i="1"/>
  <c r="K125" i="1" s="1"/>
  <c r="H124" i="1"/>
  <c r="K124" i="1" s="1"/>
  <c r="H123" i="1"/>
  <c r="K123" i="1" s="1"/>
  <c r="H122" i="1"/>
  <c r="K122" i="1" s="1"/>
  <c r="H121" i="1"/>
  <c r="K121" i="1" s="1"/>
  <c r="H120" i="1"/>
  <c r="K120" i="1" s="1"/>
  <c r="H119" i="1"/>
  <c r="K119" i="1" s="1"/>
  <c r="H118" i="1"/>
  <c r="K118" i="1" s="1"/>
  <c r="H117" i="1"/>
  <c r="K117" i="1" s="1"/>
  <c r="H116" i="1"/>
  <c r="K116" i="1" s="1"/>
  <c r="H115" i="1"/>
  <c r="K115" i="1" s="1"/>
  <c r="H114" i="1"/>
  <c r="K114" i="1" s="1"/>
  <c r="H113" i="1"/>
  <c r="K113" i="1" s="1"/>
  <c r="H112" i="1"/>
  <c r="K112" i="1" s="1"/>
  <c r="H111" i="1"/>
  <c r="K111" i="1" s="1"/>
  <c r="H110" i="1"/>
  <c r="K110" i="1" s="1"/>
  <c r="H109" i="1"/>
  <c r="K109" i="1" s="1"/>
  <c r="H108" i="1"/>
  <c r="K108" i="1" s="1"/>
  <c r="H107" i="1"/>
  <c r="K107" i="1" s="1"/>
  <c r="H106" i="1"/>
  <c r="K106" i="1" s="1"/>
  <c r="H105" i="1"/>
  <c r="K105" i="1" s="1"/>
  <c r="H104" i="1"/>
  <c r="K104" i="1" s="1"/>
  <c r="H103" i="1"/>
  <c r="K103" i="1" s="1"/>
  <c r="H102" i="1"/>
  <c r="K102" i="1" s="1"/>
  <c r="H101" i="1"/>
  <c r="K101" i="1" s="1"/>
  <c r="H100" i="1"/>
  <c r="K100" i="1" s="1"/>
  <c r="H99" i="1"/>
  <c r="K99" i="1" s="1"/>
  <c r="H98" i="1"/>
  <c r="K98" i="1" s="1"/>
  <c r="H97" i="1"/>
  <c r="K97" i="1" s="1"/>
  <c r="H96" i="1"/>
  <c r="K96" i="1" s="1"/>
  <c r="H95" i="1"/>
  <c r="K95" i="1" s="1"/>
  <c r="H94" i="1"/>
  <c r="K94" i="1" s="1"/>
  <c r="H93" i="1"/>
  <c r="K93" i="1" s="1"/>
  <c r="H92" i="1"/>
  <c r="K92" i="1" s="1"/>
  <c r="H91" i="1"/>
  <c r="K91" i="1" s="1"/>
  <c r="H90" i="1"/>
  <c r="K90" i="1" s="1"/>
  <c r="H89" i="1"/>
  <c r="K89" i="1" s="1"/>
  <c r="H88" i="1"/>
  <c r="K88" i="1" s="1"/>
  <c r="H87" i="1"/>
  <c r="K87" i="1" s="1"/>
  <c r="H86" i="1"/>
  <c r="K86" i="1" s="1"/>
  <c r="H85" i="1"/>
  <c r="K85" i="1" s="1"/>
  <c r="H84" i="1"/>
  <c r="K84" i="1" s="1"/>
  <c r="H83" i="1"/>
  <c r="K83" i="1" s="1"/>
  <c r="H82" i="1"/>
  <c r="K82" i="1" s="1"/>
  <c r="H81" i="1"/>
  <c r="K81" i="1" s="1"/>
  <c r="H80" i="1"/>
  <c r="K80" i="1" s="1"/>
  <c r="H79" i="1"/>
  <c r="K79" i="1" s="1"/>
  <c r="H78" i="1"/>
  <c r="K78" i="1" s="1"/>
  <c r="H77" i="1"/>
  <c r="K77" i="1" s="1"/>
  <c r="H76" i="1"/>
  <c r="K76" i="1" s="1"/>
  <c r="H75" i="1"/>
  <c r="K75" i="1" s="1"/>
  <c r="H74" i="1"/>
  <c r="K74" i="1" s="1"/>
  <c r="H73" i="1"/>
  <c r="K73" i="1" s="1"/>
  <c r="H72" i="1"/>
  <c r="K72" i="1" s="1"/>
  <c r="H71" i="1"/>
  <c r="K71" i="1" s="1"/>
  <c r="H70" i="1"/>
  <c r="K70" i="1" s="1"/>
  <c r="H69" i="1"/>
  <c r="K69" i="1" s="1"/>
  <c r="H68" i="1"/>
  <c r="K68" i="1" s="1"/>
  <c r="H67" i="1"/>
  <c r="K67" i="1" s="1"/>
  <c r="H66" i="1"/>
  <c r="K66" i="1" s="1"/>
  <c r="H65" i="1"/>
  <c r="K65" i="1" s="1"/>
  <c r="H64" i="1"/>
  <c r="K64" i="1" s="1"/>
  <c r="H63" i="1"/>
  <c r="K63" i="1" s="1"/>
  <c r="H62" i="1"/>
  <c r="K62" i="1" s="1"/>
  <c r="H61" i="1"/>
  <c r="K61" i="1" s="1"/>
  <c r="H60" i="1"/>
  <c r="K60" i="1" s="1"/>
  <c r="H59" i="1"/>
  <c r="K59" i="1" s="1"/>
  <c r="H58" i="1"/>
  <c r="K58" i="1" s="1"/>
  <c r="H57" i="1"/>
  <c r="K57" i="1" s="1"/>
  <c r="H56" i="1"/>
  <c r="K56" i="1" s="1"/>
  <c r="H55" i="1"/>
  <c r="K55" i="1" s="1"/>
  <c r="H54" i="1"/>
  <c r="K54" i="1" s="1"/>
  <c r="H53" i="1"/>
  <c r="K53" i="1" s="1"/>
  <c r="H52" i="1"/>
  <c r="K52" i="1" s="1"/>
  <c r="H51" i="1"/>
  <c r="K51" i="1" s="1"/>
  <c r="H50" i="1"/>
  <c r="K50" i="1" s="1"/>
  <c r="H49" i="1"/>
  <c r="K49" i="1" s="1"/>
  <c r="H48" i="1"/>
  <c r="K48" i="1" s="1"/>
  <c r="H47" i="1"/>
  <c r="K47" i="1" s="1"/>
  <c r="H46" i="1"/>
  <c r="K46" i="1" s="1"/>
  <c r="H45" i="1"/>
  <c r="K45" i="1" s="1"/>
  <c r="H44" i="1"/>
  <c r="K44" i="1" s="1"/>
  <c r="H43" i="1"/>
  <c r="K43" i="1" s="1"/>
  <c r="H42" i="1"/>
  <c r="K42" i="1" s="1"/>
  <c r="H41" i="1"/>
  <c r="K41" i="1" s="1"/>
  <c r="H40" i="1"/>
  <c r="K40" i="1" s="1"/>
  <c r="H39" i="1"/>
  <c r="K39" i="1" s="1"/>
  <c r="H38" i="1"/>
  <c r="K38" i="1" s="1"/>
  <c r="H37" i="1"/>
  <c r="K37" i="1" s="1"/>
  <c r="H36" i="1"/>
  <c r="K36" i="1" s="1"/>
  <c r="H35" i="1"/>
  <c r="K35" i="1" s="1"/>
  <c r="H34" i="1"/>
  <c r="K34" i="1" s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H26" i="1"/>
  <c r="K26" i="1" s="1"/>
  <c r="H25" i="1"/>
  <c r="K25" i="1" s="1"/>
  <c r="H24" i="1"/>
  <c r="K24" i="1" s="1"/>
  <c r="H23" i="1"/>
  <c r="K23" i="1" s="1"/>
  <c r="H22" i="1"/>
  <c r="K22" i="1" s="1"/>
  <c r="H21" i="1"/>
  <c r="K21" i="1" s="1"/>
  <c r="H20" i="1"/>
  <c r="K20" i="1" s="1"/>
  <c r="H19" i="1"/>
  <c r="K19" i="1" s="1"/>
  <c r="H18" i="1"/>
  <c r="K18" i="1" s="1"/>
  <c r="H17" i="1"/>
  <c r="K17" i="1" s="1"/>
  <c r="H16" i="1"/>
  <c r="K16" i="1" s="1"/>
  <c r="H15" i="1"/>
  <c r="K15" i="1" s="1"/>
  <c r="H14" i="1"/>
  <c r="K14" i="1" s="1"/>
  <c r="H13" i="1"/>
  <c r="K13" i="1" s="1"/>
  <c r="H12" i="1"/>
  <c r="K12" i="1" s="1"/>
  <c r="H11" i="1"/>
  <c r="K11" i="1" s="1"/>
  <c r="H10" i="1"/>
  <c r="K10" i="1" s="1"/>
  <c r="H9" i="1"/>
  <c r="K9" i="1" s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<sst xmlns="http://schemas.openxmlformats.org/spreadsheetml/2006/main" count="641" uniqueCount="43">
  <si>
    <t>Anno</t>
  </si>
  <si>
    <t>Mes</t>
  </si>
  <si>
    <t>dpr_id</t>
  </si>
  <si>
    <t>dpr_nombre</t>
  </si>
  <si>
    <t>CONTRIBUTIVO</t>
  </si>
  <si>
    <t>SUBSIDIADO</t>
  </si>
  <si>
    <t>ESPECIAL Y EXCEPCIÓN</t>
  </si>
  <si>
    <t>AFILIADOS</t>
  </si>
  <si>
    <t>POBLACIÓN DANE PROYECTADA</t>
  </si>
  <si>
    <t>POBLACIÓN DANE</t>
  </si>
  <si>
    <t>COBERTURA</t>
  </si>
  <si>
    <t>DICIEMBRE</t>
  </si>
  <si>
    <t>CORDOBA</t>
  </si>
  <si>
    <t>AYAPEL</t>
  </si>
  <si>
    <t>BUENAVISTA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</si>
  <si>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</si>
  <si>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</si>
  <si>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</si>
  <si>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</si>
  <si>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</si>
  <si>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</si>
  <si>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</si>
  <si>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</si>
  <si>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CORDOBAS</t>
  </si>
  <si>
    <t>MOMIL</t>
  </si>
  <si>
    <t>MOÑITOS</t>
  </si>
  <si>
    <t>MONTELIBANO</t>
  </si>
  <si>
    <t>MONTERÍA</t>
  </si>
  <si>
    <t>PLANETA RICA</t>
  </si>
  <si>
    <t>PUEBLO NUEVO</t>
  </si>
  <si>
    <t>PUEBLO ESCONDIDO</t>
  </si>
  <si>
    <t>PUERTO LIBERTADOR</t>
  </si>
  <si>
    <t>PURISIMA</t>
  </si>
  <si>
    <t>SAHAGÚN</t>
  </si>
  <si>
    <t>SAN ANDRES DE SOTAVENTO</t>
  </si>
  <si>
    <t>SAN ANTERO</t>
  </si>
  <si>
    <t>SAN BERNARDO DEL VIENTO</t>
  </si>
  <si>
    <t>SAN CARLOS</t>
  </si>
  <si>
    <t>SAN JOSÉ DE URÉ</t>
  </si>
  <si>
    <t>SAN PELAYO</t>
  </si>
  <si>
    <t>TIERRALTA</t>
  </si>
  <si>
    <t>TUCHÍN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</si>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</sst>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E360-CA40-462B-AD6B-56C6753CBDD2}">
  <dimension ref="A1:K211"/>
  <sheetViews>
    <sheetView tabSelected="1" workbookViewId="0">
      <pane ySplit="1" topLeftCell="A2" activePane="bottomLeft" state="frozen"/>
      <selection activeCell="C1" sqref="C1"/>
      <selection pane="bottomLeft" activeCell="I2" sqref="I2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2018</v>
      </c>
      <c r="B2" t="s">
        <v>11</v>
      </c>
      <c r="C2" t="s">
        <v>12</v>
      </c>
      <c r="D2" t="s">
        <v>13</v>
      </c>
      <c r="E2">
        <v>2677</v>
      </c>
      <c r="F2">
        <v>36516</v>
      </c>
      <c r="G2">
        <v>1073</v>
      </c>
      <c r="H2">
        <v>40266</v>
      </c>
      <c r="I2">
        <v>46968</v>
      </c>
      <c r="J2">
        <v>54144</v>
      </c>
      <c r="K2" s="1">
        <f>+H2/J2</f>
        <v>0.74368351063829785</v>
      </c>
    </row>
    <row r="3" spans="1:11" x14ac:dyDescent="0.35">
      <c r="A3">
        <v>2019</v>
      </c>
      <c r="B3" t="s">
        <v>11</v>
      </c>
      <c r="C3" t="s">
        <v>12</v>
      </c>
      <c r="D3" t="s">
        <v>13</v>
      </c>
      <c r="E3">
        <v>3071</v>
      </c>
      <c r="F3">
        <v>36937</v>
      </c>
      <c r="G3">
        <v>1039</v>
      </c>
      <c r="H3">
        <v>41047</v>
      </c>
      <c r="I3">
        <v>47596</v>
      </c>
      <c r="J3">
        <v>55120</v>
      </c>
      <c r="K3" s="1">
        <f t="shared" ref="K3:K66" si="0">+H3/J3</f>
        <v>0.74468432510885341</v>
      </c>
    </row>
    <row r="4" spans="1:11" x14ac:dyDescent="0.35">
      <c r="A4">
        <v>2020</v>
      </c>
      <c r="B4" t="s">
        <v>11</v>
      </c>
      <c r="C4" t="s">
        <v>12</v>
      </c>
      <c r="D4" t="s">
        <v>13</v>
      </c>
      <c r="E4">
        <v>3480</v>
      </c>
      <c r="F4">
        <v>37469</v>
      </c>
      <c r="G4">
        <v>1044</v>
      </c>
      <c r="H4">
        <v>41993</v>
      </c>
      <c r="I4">
        <v>48265</v>
      </c>
      <c r="J4">
        <v>47440</v>
      </c>
      <c r="K4" s="1">
        <f t="shared" si="0"/>
        <v>0.88518128161888698</v>
      </c>
    </row>
    <row r="5" spans="1:11" x14ac:dyDescent="0.35">
      <c r="A5">
        <v>2021</v>
      </c>
      <c r="B5" t="s">
        <v>11</v>
      </c>
      <c r="C5" t="s">
        <v>12</v>
      </c>
      <c r="D5" t="s">
        <v>13</v>
      </c>
      <c r="E5">
        <v>4214</v>
      </c>
      <c r="F5">
        <v>37173</v>
      </c>
      <c r="G5">
        <v>1056</v>
      </c>
      <c r="H5">
        <v>42443</v>
      </c>
      <c r="I5">
        <v>48777</v>
      </c>
      <c r="J5">
        <v>47793</v>
      </c>
      <c r="K5" s="1">
        <f t="shared" si="0"/>
        <v>0.88805892076245474</v>
      </c>
    </row>
    <row r="6" spans="1:11" x14ac:dyDescent="0.35">
      <c r="A6">
        <v>2022</v>
      </c>
      <c r="B6" t="s">
        <v>11</v>
      </c>
      <c r="C6" t="s">
        <v>12</v>
      </c>
      <c r="D6" t="s">
        <v>13</v>
      </c>
      <c r="E6">
        <v>3898</v>
      </c>
      <c r="F6">
        <v>37828</v>
      </c>
      <c r="G6">
        <v>1048</v>
      </c>
      <c r="H6">
        <v>42774</v>
      </c>
      <c r="I6">
        <v>49175</v>
      </c>
      <c r="J6">
        <v>48104</v>
      </c>
      <c r="K6" s="1">
        <f t="shared" si="0"/>
        <v>0.88919840345917178</v>
      </c>
    </row>
    <row r="7" spans="1:11" x14ac:dyDescent="0.35">
      <c r="A7">
        <v>2023</v>
      </c>
      <c r="B7" t="s">
        <v>11</v>
      </c>
      <c r="C7" t="s">
        <v>12</v>
      </c>
      <c r="D7" t="s">
        <v>13</v>
      </c>
      <c r="E7">
        <v>4001</v>
      </c>
      <c r="F7">
        <v>37795</v>
      </c>
      <c r="G7">
        <v>1053</v>
      </c>
      <c r="H7">
        <v>42849</v>
      </c>
      <c r="I7">
        <v>49544</v>
      </c>
      <c r="J7">
        <v>48398</v>
      </c>
      <c r="K7" s="1">
        <f t="shared" si="0"/>
        <v>0.88534650192156705</v>
      </c>
    </row>
    <row r="8" spans="1:11" x14ac:dyDescent="0.35">
      <c r="A8">
        <v>2024</v>
      </c>
      <c r="B8" t="s">
        <v>11</v>
      </c>
      <c r="C8" t="s">
        <v>12</v>
      </c>
      <c r="D8" t="s">
        <v>13</v>
      </c>
      <c r="E8">
        <v>4192</v>
      </c>
      <c r="F8">
        <v>37539</v>
      </c>
      <c r="G8">
        <v>1029</v>
      </c>
      <c r="H8">
        <v>42760</v>
      </c>
      <c r="I8">
        <v>49883</v>
      </c>
      <c r="J8">
        <v>49372</v>
      </c>
      <c r="K8" s="1">
        <f t="shared" si="0"/>
        <v>0.86607793891274409</v>
      </c>
    </row>
    <row r="9" spans="1:11" x14ac:dyDescent="0.35">
      <c r="A9">
        <v>2018</v>
      </c>
      <c r="B9" t="s">
        <v>11</v>
      </c>
      <c r="C9" t="s">
        <v>12</v>
      </c>
      <c r="D9" t="s">
        <v>14</v>
      </c>
      <c r="E9">
        <v>1746</v>
      </c>
      <c r="F9">
        <v>15436</v>
      </c>
      <c r="G9">
        <v>342</v>
      </c>
      <c r="H9">
        <f>+SUM(E9:G9)</f>
        <v>17524</v>
      </c>
      <c r="I9">
        <v>21087</v>
      </c>
      <c r="J9">
        <v>22459</v>
      </c>
      <c r="K9" s="1">
        <f t="shared" si="0"/>
        <v>0.78026626296807511</v>
      </c>
    </row>
    <row r="10" spans="1:11" x14ac:dyDescent="0.35">
      <c r="A10">
        <v>2019</v>
      </c>
      <c r="B10" t="s">
        <v>11</v>
      </c>
      <c r="C10" t="s">
        <v>12</v>
      </c>
      <c r="D10" t="s">
        <v>14</v>
      </c>
      <c r="E10">
        <v>1804</v>
      </c>
      <c r="F10">
        <v>15668</v>
      </c>
      <c r="G10">
        <v>325</v>
      </c>
      <c r="H10">
        <f>+SUM(E10:G10)</f>
        <v>17797</v>
      </c>
      <c r="I10">
        <v>21348</v>
      </c>
      <c r="J10">
        <v>22711</v>
      </c>
      <c r="K10" s="1">
        <f t="shared" si="0"/>
        <v>0.78362907842014884</v>
      </c>
    </row>
    <row r="11" spans="1:11" x14ac:dyDescent="0.35">
      <c r="A11">
        <v>2020</v>
      </c>
      <c r="B11" t="s">
        <v>11</v>
      </c>
      <c r="C11" t="s">
        <v>12</v>
      </c>
      <c r="D11" t="s">
        <v>14</v>
      </c>
      <c r="E11">
        <v>2227</v>
      </c>
      <c r="F11">
        <v>15863</v>
      </c>
      <c r="G11">
        <v>331</v>
      </c>
      <c r="H11">
        <f t="shared" ref="H11:H74" si="1">+SUM(E11:G11)</f>
        <v>18421</v>
      </c>
      <c r="I11">
        <v>21642</v>
      </c>
      <c r="J11">
        <v>21538</v>
      </c>
      <c r="K11" s="1">
        <f t="shared" si="0"/>
        <v>0.85527904169375057</v>
      </c>
    </row>
    <row r="12" spans="1:11" x14ac:dyDescent="0.35">
      <c r="A12">
        <v>2021</v>
      </c>
      <c r="B12" t="s">
        <v>11</v>
      </c>
      <c r="C12" t="s">
        <v>12</v>
      </c>
      <c r="D12" t="s">
        <v>14</v>
      </c>
      <c r="E12">
        <v>2558</v>
      </c>
      <c r="F12">
        <v>15711</v>
      </c>
      <c r="G12">
        <v>332</v>
      </c>
      <c r="H12">
        <f t="shared" si="1"/>
        <v>18601</v>
      </c>
      <c r="I12">
        <v>21866</v>
      </c>
      <c r="J12">
        <v>21699</v>
      </c>
      <c r="K12" s="1">
        <f t="shared" si="0"/>
        <v>0.85722844370708329</v>
      </c>
    </row>
    <row r="13" spans="1:11" x14ac:dyDescent="0.35">
      <c r="A13">
        <v>2022</v>
      </c>
      <c r="B13" t="s">
        <v>11</v>
      </c>
      <c r="C13" t="s">
        <v>12</v>
      </c>
      <c r="D13" t="s">
        <v>14</v>
      </c>
      <c r="E13">
        <v>2319</v>
      </c>
      <c r="F13">
        <v>15896</v>
      </c>
      <c r="G13">
        <v>332</v>
      </c>
      <c r="H13">
        <f t="shared" si="1"/>
        <v>18547</v>
      </c>
      <c r="I13">
        <v>22031</v>
      </c>
      <c r="J13">
        <v>21840</v>
      </c>
      <c r="K13" s="1">
        <f t="shared" si="0"/>
        <v>0.8492216117216117</v>
      </c>
    </row>
    <row r="14" spans="1:11" x14ac:dyDescent="0.35">
      <c r="A14">
        <v>2023</v>
      </c>
      <c r="B14" t="s">
        <v>11</v>
      </c>
      <c r="C14" t="s">
        <v>12</v>
      </c>
      <c r="D14" t="s">
        <v>14</v>
      </c>
      <c r="E14">
        <v>2478</v>
      </c>
      <c r="F14">
        <v>15864</v>
      </c>
      <c r="G14">
        <v>342</v>
      </c>
      <c r="H14">
        <f t="shared" si="1"/>
        <v>18684</v>
      </c>
      <c r="I14">
        <v>22164</v>
      </c>
      <c r="J14">
        <v>21992</v>
      </c>
      <c r="K14" s="1">
        <f t="shared" si="0"/>
        <v>0.84958166606038554</v>
      </c>
    </row>
    <row r="15" spans="1:11" x14ac:dyDescent="0.35">
      <c r="A15">
        <v>2024</v>
      </c>
      <c r="B15" t="s">
        <v>11</v>
      </c>
      <c r="C15" t="s">
        <v>12</v>
      </c>
      <c r="D15" t="s">
        <v>14</v>
      </c>
      <c r="E15">
        <v>2453</v>
      </c>
      <c r="F15">
        <v>15900</v>
      </c>
      <c r="G15">
        <v>348</v>
      </c>
      <c r="H15">
        <f t="shared" si="1"/>
        <v>18701</v>
      </c>
      <c r="I15">
        <v>22295</v>
      </c>
      <c r="J15">
        <v>22873</v>
      </c>
      <c r="K15" s="1">
        <f t="shared" si="0"/>
        <v>0.81760153893236565</v>
      </c>
    </row>
    <row r="16" spans="1:11" x14ac:dyDescent="0.35">
      <c r="A16">
        <v>2018</v>
      </c>
      <c r="B16" t="s">
        <v>11</v>
      </c>
      <c r="C16" t="s">
        <v>12</v>
      </c>
      <c r="D16" t="s">
        <v>15</v>
      </c>
      <c r="E16">
        <v>702</v>
      </c>
      <c r="F16">
        <v>16352</v>
      </c>
      <c r="G16">
        <v>177</v>
      </c>
      <c r="H16">
        <f t="shared" si="1"/>
        <v>17231</v>
      </c>
      <c r="I16">
        <v>15346</v>
      </c>
      <c r="J16">
        <v>23028</v>
      </c>
      <c r="K16" s="1">
        <f t="shared" si="0"/>
        <v>0.74826298419315618</v>
      </c>
    </row>
    <row r="17" spans="1:11" x14ac:dyDescent="0.35">
      <c r="A17">
        <v>2019</v>
      </c>
      <c r="B17" t="s">
        <v>11</v>
      </c>
      <c r="C17" t="s">
        <v>12</v>
      </c>
      <c r="D17" t="s">
        <v>15</v>
      </c>
      <c r="E17">
        <v>867</v>
      </c>
      <c r="F17">
        <v>15981</v>
      </c>
      <c r="G17">
        <v>163</v>
      </c>
      <c r="H17">
        <f t="shared" si="1"/>
        <v>17011</v>
      </c>
      <c r="I17">
        <v>15569</v>
      </c>
      <c r="J17">
        <v>23520</v>
      </c>
      <c r="K17" s="1">
        <f t="shared" si="0"/>
        <v>0.72325680272108839</v>
      </c>
    </row>
    <row r="18" spans="1:11" x14ac:dyDescent="0.35">
      <c r="A18">
        <v>2020</v>
      </c>
      <c r="B18" t="s">
        <v>11</v>
      </c>
      <c r="C18" t="s">
        <v>12</v>
      </c>
      <c r="D18" t="s">
        <v>15</v>
      </c>
      <c r="E18">
        <v>1011</v>
      </c>
      <c r="F18">
        <v>15788</v>
      </c>
      <c r="G18">
        <v>162</v>
      </c>
      <c r="H18">
        <f t="shared" si="1"/>
        <v>16961</v>
      </c>
      <c r="I18">
        <v>15812</v>
      </c>
      <c r="J18">
        <v>15500</v>
      </c>
      <c r="K18" s="1">
        <f t="shared" si="0"/>
        <v>1.0942580645161291</v>
      </c>
    </row>
    <row r="19" spans="1:11" x14ac:dyDescent="0.35">
      <c r="A19">
        <v>2021</v>
      </c>
      <c r="B19" t="s">
        <v>11</v>
      </c>
      <c r="C19" t="s">
        <v>12</v>
      </c>
      <c r="D19" t="s">
        <v>15</v>
      </c>
      <c r="E19">
        <v>996</v>
      </c>
      <c r="F19">
        <v>16033</v>
      </c>
      <c r="G19">
        <v>155</v>
      </c>
      <c r="H19">
        <f t="shared" si="1"/>
        <v>17184</v>
      </c>
      <c r="I19">
        <v>15983</v>
      </c>
      <c r="J19">
        <v>15615</v>
      </c>
      <c r="K19" s="1">
        <f t="shared" si="0"/>
        <v>1.100480307396734</v>
      </c>
    </row>
    <row r="20" spans="1:11" x14ac:dyDescent="0.35">
      <c r="A20">
        <v>2022</v>
      </c>
      <c r="B20" t="s">
        <v>11</v>
      </c>
      <c r="C20" t="s">
        <v>12</v>
      </c>
      <c r="D20" t="s">
        <v>15</v>
      </c>
      <c r="E20">
        <v>1142</v>
      </c>
      <c r="F20">
        <v>16133</v>
      </c>
      <c r="G20">
        <v>156</v>
      </c>
      <c r="H20">
        <f t="shared" si="1"/>
        <v>17431</v>
      </c>
      <c r="I20">
        <v>16141</v>
      </c>
      <c r="J20">
        <v>15717</v>
      </c>
      <c r="K20" s="1">
        <f t="shared" si="0"/>
        <v>1.1090538906916079</v>
      </c>
    </row>
    <row r="21" spans="1:11" x14ac:dyDescent="0.35">
      <c r="A21">
        <v>2023</v>
      </c>
      <c r="B21" t="s">
        <v>11</v>
      </c>
      <c r="C21" t="s">
        <v>12</v>
      </c>
      <c r="D21" t="s">
        <v>15</v>
      </c>
      <c r="E21">
        <v>1121</v>
      </c>
      <c r="F21">
        <v>16446</v>
      </c>
      <c r="G21">
        <v>157</v>
      </c>
      <c r="H21">
        <f t="shared" si="1"/>
        <v>17724</v>
      </c>
      <c r="I21">
        <v>16271</v>
      </c>
      <c r="J21">
        <v>15841</v>
      </c>
      <c r="K21" s="1">
        <f t="shared" si="0"/>
        <v>1.1188687582854617</v>
      </c>
    </row>
    <row r="22" spans="1:11" x14ac:dyDescent="0.35">
      <c r="A22">
        <v>2024</v>
      </c>
      <c r="B22" t="s">
        <v>11</v>
      </c>
      <c r="C22" t="s">
        <v>12</v>
      </c>
      <c r="D22" t="s">
        <v>15</v>
      </c>
      <c r="E22">
        <v>1410</v>
      </c>
      <c r="F22">
        <v>16130</v>
      </c>
      <c r="G22">
        <v>155</v>
      </c>
      <c r="H22">
        <f t="shared" si="1"/>
        <v>17695</v>
      </c>
      <c r="I22">
        <v>16420</v>
      </c>
      <c r="J22">
        <v>16627</v>
      </c>
      <c r="K22" s="1">
        <f t="shared" si="0"/>
        <v>1.0642328742406928</v>
      </c>
    </row>
    <row r="23" spans="1:11" x14ac:dyDescent="0.35">
      <c r="A23">
        <v>2018</v>
      </c>
      <c r="B23" t="s">
        <v>11</v>
      </c>
      <c r="C23" t="s">
        <v>12</v>
      </c>
      <c r="D23" t="s">
        <v>16</v>
      </c>
      <c r="E23">
        <v>24291</v>
      </c>
      <c r="F23">
        <v>68519</v>
      </c>
      <c r="G23">
        <v>2220</v>
      </c>
      <c r="H23">
        <f t="shared" si="1"/>
        <v>95030</v>
      </c>
      <c r="I23">
        <v>105826</v>
      </c>
      <c r="J23">
        <v>93713</v>
      </c>
      <c r="K23" s="1">
        <f t="shared" si="0"/>
        <v>1.0140535464663387</v>
      </c>
    </row>
    <row r="24" spans="1:11" x14ac:dyDescent="0.35">
      <c r="A24">
        <v>2019</v>
      </c>
      <c r="B24" t="s">
        <v>11</v>
      </c>
      <c r="C24" t="s">
        <v>12</v>
      </c>
      <c r="D24" t="s">
        <v>16</v>
      </c>
      <c r="E24">
        <v>24872</v>
      </c>
      <c r="F24">
        <v>68247</v>
      </c>
      <c r="G24">
        <v>2134</v>
      </c>
      <c r="H24">
        <f t="shared" si="1"/>
        <v>95253</v>
      </c>
      <c r="I24">
        <v>108346</v>
      </c>
      <c r="J24">
        <v>94355</v>
      </c>
      <c r="K24" s="1">
        <f t="shared" si="0"/>
        <v>1.0095172486884638</v>
      </c>
    </row>
    <row r="25" spans="1:11" x14ac:dyDescent="0.35">
      <c r="A25">
        <v>2020</v>
      </c>
      <c r="B25" t="s">
        <v>11</v>
      </c>
      <c r="C25" t="s">
        <v>12</v>
      </c>
      <c r="D25" t="s">
        <v>16</v>
      </c>
      <c r="E25">
        <v>25182</v>
      </c>
      <c r="F25">
        <v>69224</v>
      </c>
      <c r="G25">
        <v>2161</v>
      </c>
      <c r="H25">
        <f t="shared" si="1"/>
        <v>96567</v>
      </c>
      <c r="I25">
        <v>110983</v>
      </c>
      <c r="J25">
        <v>108853</v>
      </c>
      <c r="K25" s="1">
        <f t="shared" si="0"/>
        <v>0.88713218744545397</v>
      </c>
    </row>
    <row r="26" spans="1:11" x14ac:dyDescent="0.35">
      <c r="A26">
        <v>2021</v>
      </c>
      <c r="B26" t="s">
        <v>11</v>
      </c>
      <c r="C26" t="s">
        <v>12</v>
      </c>
      <c r="D26" t="s">
        <v>16</v>
      </c>
      <c r="E26">
        <v>26940</v>
      </c>
      <c r="F26">
        <v>68293</v>
      </c>
      <c r="G26">
        <v>2205</v>
      </c>
      <c r="H26">
        <f t="shared" si="1"/>
        <v>97438</v>
      </c>
      <c r="I26">
        <v>113247</v>
      </c>
      <c r="J26">
        <v>109665</v>
      </c>
      <c r="K26" s="1">
        <f t="shared" si="0"/>
        <v>0.88850590434505083</v>
      </c>
    </row>
    <row r="27" spans="1:11" x14ac:dyDescent="0.35">
      <c r="A27">
        <v>2022</v>
      </c>
      <c r="B27" t="s">
        <v>11</v>
      </c>
      <c r="C27" t="s">
        <v>12</v>
      </c>
      <c r="D27" t="s">
        <v>16</v>
      </c>
      <c r="E27">
        <v>24847</v>
      </c>
      <c r="F27">
        <v>70414</v>
      </c>
      <c r="G27">
        <v>2197</v>
      </c>
      <c r="H27">
        <f t="shared" si="1"/>
        <v>97458</v>
      </c>
      <c r="I27">
        <v>115329</v>
      </c>
      <c r="J27">
        <v>110377</v>
      </c>
      <c r="K27" s="1">
        <f t="shared" si="0"/>
        <v>0.88295568823214976</v>
      </c>
    </row>
    <row r="28" spans="1:11" x14ac:dyDescent="0.35">
      <c r="A28">
        <v>2023</v>
      </c>
      <c r="B28" t="s">
        <v>11</v>
      </c>
      <c r="C28" t="s">
        <v>12</v>
      </c>
      <c r="D28" t="s">
        <v>16</v>
      </c>
      <c r="E28">
        <v>25262</v>
      </c>
      <c r="F28">
        <v>70575</v>
      </c>
      <c r="G28">
        <v>2233</v>
      </c>
      <c r="H28">
        <f t="shared" si="1"/>
        <v>98070</v>
      </c>
      <c r="I28">
        <v>117379</v>
      </c>
      <c r="J28">
        <v>111041</v>
      </c>
      <c r="K28" s="1">
        <f t="shared" si="0"/>
        <v>0.88318729118073502</v>
      </c>
    </row>
    <row r="29" spans="1:11" x14ac:dyDescent="0.35">
      <c r="A29">
        <v>2024</v>
      </c>
      <c r="B29" t="s">
        <v>11</v>
      </c>
      <c r="C29" t="s">
        <v>12</v>
      </c>
      <c r="D29" t="s">
        <v>16</v>
      </c>
      <c r="E29">
        <v>25338</v>
      </c>
      <c r="F29">
        <v>70555</v>
      </c>
      <c r="G29">
        <v>2250</v>
      </c>
      <c r="H29">
        <f t="shared" si="1"/>
        <v>98143</v>
      </c>
      <c r="I29">
        <v>119389</v>
      </c>
      <c r="J29">
        <v>114560</v>
      </c>
      <c r="K29" s="1">
        <f t="shared" si="0"/>
        <v>0.85669518156424584</v>
      </c>
    </row>
    <row r="30" spans="1:11" x14ac:dyDescent="0.35">
      <c r="A30">
        <v>2018</v>
      </c>
      <c r="B30" t="s">
        <v>11</v>
      </c>
      <c r="C30" t="s">
        <v>12</v>
      </c>
      <c r="D30" t="s">
        <v>17</v>
      </c>
      <c r="E30">
        <v>447</v>
      </c>
      <c r="F30">
        <v>11937</v>
      </c>
      <c r="G30">
        <v>278</v>
      </c>
      <c r="H30">
        <f t="shared" si="1"/>
        <v>12662</v>
      </c>
      <c r="I30">
        <v>17539</v>
      </c>
      <c r="J30">
        <v>15438</v>
      </c>
      <c r="K30" s="1">
        <f t="shared" si="0"/>
        <v>0.82018396165306384</v>
      </c>
    </row>
    <row r="31" spans="1:11" x14ac:dyDescent="0.35">
      <c r="A31">
        <v>2019</v>
      </c>
      <c r="B31" t="s">
        <v>11</v>
      </c>
      <c r="C31" t="s">
        <v>12</v>
      </c>
      <c r="D31" t="s">
        <v>17</v>
      </c>
      <c r="E31">
        <v>602</v>
      </c>
      <c r="F31">
        <v>11939</v>
      </c>
      <c r="G31">
        <v>265</v>
      </c>
      <c r="H31">
        <f t="shared" si="1"/>
        <v>12806</v>
      </c>
      <c r="I31">
        <v>17910</v>
      </c>
      <c r="J31">
        <v>15571</v>
      </c>
      <c r="K31" s="1">
        <f t="shared" si="0"/>
        <v>0.82242630531115535</v>
      </c>
    </row>
    <row r="32" spans="1:11" x14ac:dyDescent="0.35">
      <c r="A32">
        <v>2020</v>
      </c>
      <c r="B32" t="s">
        <v>11</v>
      </c>
      <c r="C32" t="s">
        <v>12</v>
      </c>
      <c r="D32" t="s">
        <v>17</v>
      </c>
      <c r="E32">
        <v>678</v>
      </c>
      <c r="F32">
        <v>12194</v>
      </c>
      <c r="G32">
        <v>283</v>
      </c>
      <c r="H32">
        <f t="shared" si="1"/>
        <v>13155</v>
      </c>
      <c r="I32">
        <v>18314</v>
      </c>
      <c r="J32">
        <v>17978</v>
      </c>
      <c r="K32" s="1">
        <f t="shared" si="0"/>
        <v>0.73172766714873738</v>
      </c>
    </row>
    <row r="33" spans="1:11" x14ac:dyDescent="0.35">
      <c r="A33">
        <v>2021</v>
      </c>
      <c r="B33" t="s">
        <v>11</v>
      </c>
      <c r="C33" t="s">
        <v>12</v>
      </c>
      <c r="D33" t="s">
        <v>17</v>
      </c>
      <c r="E33">
        <v>886</v>
      </c>
      <c r="F33">
        <v>11882</v>
      </c>
      <c r="G33">
        <v>278</v>
      </c>
      <c r="H33">
        <f t="shared" si="1"/>
        <v>13046</v>
      </c>
      <c r="I33">
        <v>18619</v>
      </c>
      <c r="J33">
        <v>18112</v>
      </c>
      <c r="K33" s="1">
        <f t="shared" si="0"/>
        <v>0.72029593639575973</v>
      </c>
    </row>
    <row r="34" spans="1:11" x14ac:dyDescent="0.35">
      <c r="A34">
        <v>2022</v>
      </c>
      <c r="B34" t="s">
        <v>11</v>
      </c>
      <c r="C34" t="s">
        <v>12</v>
      </c>
      <c r="D34" t="s">
        <v>17</v>
      </c>
      <c r="E34">
        <v>804</v>
      </c>
      <c r="F34">
        <v>11941</v>
      </c>
      <c r="G34">
        <v>274</v>
      </c>
      <c r="H34">
        <f t="shared" si="1"/>
        <v>13019</v>
      </c>
      <c r="I34">
        <v>18904</v>
      </c>
      <c r="J34">
        <v>18230</v>
      </c>
      <c r="K34" s="1">
        <f t="shared" si="0"/>
        <v>0.71415249588590235</v>
      </c>
    </row>
    <row r="35" spans="1:11" x14ac:dyDescent="0.35">
      <c r="A35">
        <v>2023</v>
      </c>
      <c r="B35" t="s">
        <v>11</v>
      </c>
      <c r="C35" t="s">
        <v>12</v>
      </c>
      <c r="D35" t="s">
        <v>17</v>
      </c>
      <c r="E35">
        <v>798</v>
      </c>
      <c r="F35">
        <v>11608</v>
      </c>
      <c r="G35">
        <v>266</v>
      </c>
      <c r="H35">
        <f t="shared" si="1"/>
        <v>12672</v>
      </c>
      <c r="I35">
        <v>19166</v>
      </c>
      <c r="J35">
        <v>18345</v>
      </c>
      <c r="K35" s="1">
        <f t="shared" si="0"/>
        <v>0.69076042518397385</v>
      </c>
    </row>
    <row r="36" spans="1:11" x14ac:dyDescent="0.35">
      <c r="A36">
        <v>2024</v>
      </c>
      <c r="B36" t="s">
        <v>11</v>
      </c>
      <c r="C36" t="s">
        <v>12</v>
      </c>
      <c r="D36" t="s">
        <v>17</v>
      </c>
      <c r="E36">
        <v>746</v>
      </c>
      <c r="F36">
        <v>11566</v>
      </c>
      <c r="G36">
        <v>270</v>
      </c>
      <c r="H36">
        <f t="shared" si="1"/>
        <v>12582</v>
      </c>
      <c r="I36">
        <v>19407</v>
      </c>
      <c r="J36">
        <v>19090</v>
      </c>
      <c r="K36" s="1">
        <f t="shared" si="0"/>
        <v>0.65908852802514406</v>
      </c>
    </row>
    <row r="37" spans="1:11" x14ac:dyDescent="0.35">
      <c r="A37">
        <v>2018</v>
      </c>
      <c r="B37" t="s">
        <v>11</v>
      </c>
      <c r="C37" t="s">
        <v>12</v>
      </c>
      <c r="D37" t="s">
        <v>18</v>
      </c>
      <c r="E37">
        <v>2779</v>
      </c>
      <c r="F37">
        <v>37926</v>
      </c>
      <c r="G37">
        <v>909</v>
      </c>
      <c r="H37">
        <f t="shared" si="1"/>
        <v>41614</v>
      </c>
      <c r="I37">
        <v>47920</v>
      </c>
      <c r="J37">
        <v>49841</v>
      </c>
      <c r="K37" s="1">
        <f t="shared" si="0"/>
        <v>0.83493509359764051</v>
      </c>
    </row>
    <row r="38" spans="1:11" x14ac:dyDescent="0.35">
      <c r="A38">
        <v>2019</v>
      </c>
      <c r="B38" t="s">
        <v>11</v>
      </c>
      <c r="C38" t="s">
        <v>12</v>
      </c>
      <c r="D38" t="s">
        <v>18</v>
      </c>
      <c r="E38">
        <v>3150</v>
      </c>
      <c r="F38">
        <v>37733</v>
      </c>
      <c r="G38">
        <v>882</v>
      </c>
      <c r="H38">
        <f t="shared" si="1"/>
        <v>41765</v>
      </c>
      <c r="I38">
        <v>48821</v>
      </c>
      <c r="J38">
        <v>50313</v>
      </c>
      <c r="K38" s="1">
        <f t="shared" si="0"/>
        <v>0.83010355176594519</v>
      </c>
    </row>
    <row r="39" spans="1:11" x14ac:dyDescent="0.35">
      <c r="A39">
        <v>2020</v>
      </c>
      <c r="B39" t="s">
        <v>11</v>
      </c>
      <c r="C39" t="s">
        <v>12</v>
      </c>
      <c r="D39" t="s">
        <v>18</v>
      </c>
      <c r="E39">
        <v>3620</v>
      </c>
      <c r="F39">
        <v>37790</v>
      </c>
      <c r="G39">
        <v>889</v>
      </c>
      <c r="H39">
        <f t="shared" si="1"/>
        <v>42299</v>
      </c>
      <c r="I39">
        <v>49847</v>
      </c>
      <c r="J39">
        <v>48893</v>
      </c>
      <c r="K39" s="1">
        <f t="shared" si="0"/>
        <v>0.86513406827153172</v>
      </c>
    </row>
    <row r="40" spans="1:11" x14ac:dyDescent="0.35">
      <c r="A40">
        <v>2021</v>
      </c>
      <c r="B40" t="s">
        <v>11</v>
      </c>
      <c r="C40" t="s">
        <v>12</v>
      </c>
      <c r="D40" t="s">
        <v>18</v>
      </c>
      <c r="E40">
        <v>3684</v>
      </c>
      <c r="F40">
        <v>38060</v>
      </c>
      <c r="G40">
        <v>870</v>
      </c>
      <c r="H40">
        <f t="shared" si="1"/>
        <v>42614</v>
      </c>
      <c r="I40">
        <v>50557</v>
      </c>
      <c r="J40">
        <v>49257</v>
      </c>
      <c r="K40" s="1">
        <f t="shared" si="0"/>
        <v>0.86513591976774873</v>
      </c>
    </row>
    <row r="41" spans="1:11" x14ac:dyDescent="0.35">
      <c r="A41">
        <v>2022</v>
      </c>
      <c r="B41" t="s">
        <v>11</v>
      </c>
      <c r="C41" t="s">
        <v>12</v>
      </c>
      <c r="D41" t="s">
        <v>18</v>
      </c>
      <c r="E41">
        <v>4190</v>
      </c>
      <c r="F41">
        <v>37759</v>
      </c>
      <c r="G41">
        <v>849</v>
      </c>
      <c r="H41">
        <f t="shared" si="1"/>
        <v>42798</v>
      </c>
      <c r="I41">
        <v>51087</v>
      </c>
      <c r="J41">
        <v>49577</v>
      </c>
      <c r="K41" s="1">
        <f t="shared" si="0"/>
        <v>0.86326320672892676</v>
      </c>
    </row>
    <row r="42" spans="1:11" x14ac:dyDescent="0.35">
      <c r="A42">
        <v>2023</v>
      </c>
      <c r="B42" t="s">
        <v>11</v>
      </c>
      <c r="C42" t="s">
        <v>12</v>
      </c>
      <c r="D42" t="s">
        <v>18</v>
      </c>
      <c r="E42">
        <v>4343</v>
      </c>
      <c r="F42">
        <v>37840</v>
      </c>
      <c r="G42">
        <v>841</v>
      </c>
      <c r="H42">
        <f t="shared" si="1"/>
        <v>43024</v>
      </c>
      <c r="I42">
        <v>51590</v>
      </c>
      <c r="J42">
        <v>49899</v>
      </c>
      <c r="K42" s="1">
        <f t="shared" si="0"/>
        <v>0.86222168780937491</v>
      </c>
    </row>
    <row r="43" spans="1:11" x14ac:dyDescent="0.35">
      <c r="A43">
        <v>2024</v>
      </c>
      <c r="B43" t="s">
        <v>11</v>
      </c>
      <c r="C43" t="s">
        <v>12</v>
      </c>
      <c r="D43" t="s">
        <v>18</v>
      </c>
      <c r="E43">
        <v>4441</v>
      </c>
      <c r="F43">
        <v>38153</v>
      </c>
      <c r="G43">
        <v>839</v>
      </c>
      <c r="H43">
        <f t="shared" si="1"/>
        <v>43433</v>
      </c>
      <c r="I43">
        <v>52071</v>
      </c>
      <c r="J43">
        <v>51851</v>
      </c>
      <c r="K43" s="1">
        <f t="shared" si="0"/>
        <v>0.83765018996740659</v>
      </c>
    </row>
    <row r="44" spans="1:11" x14ac:dyDescent="0.35">
      <c r="A44">
        <v>2018</v>
      </c>
      <c r="B44" t="s">
        <v>11</v>
      </c>
      <c r="C44" t="s">
        <v>12</v>
      </c>
      <c r="D44" t="s">
        <v>19</v>
      </c>
      <c r="E44">
        <v>4889</v>
      </c>
      <c r="F44">
        <v>48754</v>
      </c>
      <c r="G44">
        <v>976</v>
      </c>
      <c r="H44">
        <f t="shared" si="1"/>
        <v>54619</v>
      </c>
      <c r="I44">
        <v>59080</v>
      </c>
      <c r="J44">
        <v>67934</v>
      </c>
      <c r="K44" s="1">
        <f t="shared" si="0"/>
        <v>0.80400094209085293</v>
      </c>
    </row>
    <row r="45" spans="1:11" x14ac:dyDescent="0.35">
      <c r="A45">
        <v>2019</v>
      </c>
      <c r="B45" t="s">
        <v>11</v>
      </c>
      <c r="C45" t="s">
        <v>12</v>
      </c>
      <c r="D45" t="s">
        <v>19</v>
      </c>
      <c r="E45">
        <v>5410</v>
      </c>
      <c r="F45">
        <v>49113</v>
      </c>
      <c r="G45">
        <v>927</v>
      </c>
      <c r="H45">
        <f t="shared" si="1"/>
        <v>55450</v>
      </c>
      <c r="I45">
        <v>59879</v>
      </c>
      <c r="J45">
        <v>69144</v>
      </c>
      <c r="K45" s="1">
        <f t="shared" si="0"/>
        <v>0.80194955455281736</v>
      </c>
    </row>
    <row r="46" spans="1:11" x14ac:dyDescent="0.35">
      <c r="A46">
        <v>2020</v>
      </c>
      <c r="B46" t="s">
        <v>11</v>
      </c>
      <c r="C46" t="s">
        <v>12</v>
      </c>
      <c r="D46" t="s">
        <v>19</v>
      </c>
      <c r="E46">
        <v>5967</v>
      </c>
      <c r="F46">
        <v>49189</v>
      </c>
      <c r="G46">
        <v>921</v>
      </c>
      <c r="H46">
        <f t="shared" si="1"/>
        <v>56077</v>
      </c>
      <c r="I46">
        <v>60741</v>
      </c>
      <c r="J46">
        <v>60768</v>
      </c>
      <c r="K46" s="1">
        <f t="shared" si="0"/>
        <v>0.92280476566614011</v>
      </c>
    </row>
    <row r="47" spans="1:11" x14ac:dyDescent="0.35">
      <c r="A47">
        <v>2021</v>
      </c>
      <c r="B47" t="s">
        <v>11</v>
      </c>
      <c r="C47" t="s">
        <v>12</v>
      </c>
      <c r="D47" t="s">
        <v>19</v>
      </c>
      <c r="E47">
        <v>6247</v>
      </c>
      <c r="F47">
        <v>49088</v>
      </c>
      <c r="G47">
        <v>931</v>
      </c>
      <c r="H47">
        <f t="shared" si="1"/>
        <v>56266</v>
      </c>
      <c r="I47">
        <v>61321</v>
      </c>
      <c r="J47">
        <v>61221</v>
      </c>
      <c r="K47" s="1">
        <f t="shared" si="0"/>
        <v>0.9190637199653714</v>
      </c>
    </row>
    <row r="48" spans="1:11" x14ac:dyDescent="0.35">
      <c r="A48">
        <v>2022</v>
      </c>
      <c r="B48" t="s">
        <v>11</v>
      </c>
      <c r="C48" t="s">
        <v>12</v>
      </c>
      <c r="D48" t="s">
        <v>19</v>
      </c>
      <c r="E48">
        <v>6665</v>
      </c>
      <c r="F48">
        <v>49234</v>
      </c>
      <c r="G48">
        <v>921</v>
      </c>
      <c r="H48">
        <f t="shared" si="1"/>
        <v>56820</v>
      </c>
      <c r="I48">
        <v>61788</v>
      </c>
      <c r="J48">
        <v>61619</v>
      </c>
      <c r="K48" s="1">
        <f t="shared" si="0"/>
        <v>0.9221181778347588</v>
      </c>
    </row>
    <row r="49" spans="1:11" x14ac:dyDescent="0.35">
      <c r="A49">
        <v>2023</v>
      </c>
      <c r="B49" t="s">
        <v>11</v>
      </c>
      <c r="C49" t="s">
        <v>12</v>
      </c>
      <c r="D49" t="s">
        <v>19</v>
      </c>
      <c r="E49">
        <v>7032</v>
      </c>
      <c r="F49">
        <v>48978</v>
      </c>
      <c r="G49">
        <v>950</v>
      </c>
      <c r="H49">
        <f t="shared" si="1"/>
        <v>56960</v>
      </c>
      <c r="I49">
        <v>62210</v>
      </c>
      <c r="J49">
        <v>61992</v>
      </c>
      <c r="K49" s="1">
        <f t="shared" si="0"/>
        <v>0.91882823590140661</v>
      </c>
    </row>
    <row r="50" spans="1:11" x14ac:dyDescent="0.35">
      <c r="A50">
        <v>2024</v>
      </c>
      <c r="B50" t="s">
        <v>11</v>
      </c>
      <c r="C50" t="s">
        <v>12</v>
      </c>
      <c r="D50" t="s">
        <v>19</v>
      </c>
      <c r="E50">
        <v>7352</v>
      </c>
      <c r="F50">
        <v>48510</v>
      </c>
      <c r="G50">
        <v>929</v>
      </c>
      <c r="H50">
        <f t="shared" si="1"/>
        <v>56791</v>
      </c>
      <c r="I50">
        <v>62594</v>
      </c>
      <c r="J50">
        <v>63967</v>
      </c>
      <c r="K50" s="1">
        <f t="shared" si="0"/>
        <v>0.88781715572091857</v>
      </c>
    </row>
    <row r="51" spans="1:11" x14ac:dyDescent="0.35">
      <c r="A51">
        <v>2018</v>
      </c>
      <c r="B51" t="s">
        <v>11</v>
      </c>
      <c r="C51" t="s">
        <v>12</v>
      </c>
      <c r="D51" t="s">
        <v>20</v>
      </c>
      <c r="E51">
        <v>675</v>
      </c>
      <c r="F51">
        <v>15199</v>
      </c>
      <c r="G51">
        <v>112</v>
      </c>
      <c r="H51">
        <f t="shared" si="1"/>
        <v>15986</v>
      </c>
      <c r="I51">
        <v>19028</v>
      </c>
      <c r="J51">
        <v>15547</v>
      </c>
      <c r="K51" s="1">
        <f t="shared" si="0"/>
        <v>1.0282369588988229</v>
      </c>
    </row>
    <row r="52" spans="1:11" x14ac:dyDescent="0.35">
      <c r="A52">
        <v>2019</v>
      </c>
      <c r="B52" t="s">
        <v>11</v>
      </c>
      <c r="C52" t="s">
        <v>12</v>
      </c>
      <c r="D52" t="s">
        <v>20</v>
      </c>
      <c r="E52">
        <v>866</v>
      </c>
      <c r="F52">
        <v>15221</v>
      </c>
      <c r="G52">
        <v>100</v>
      </c>
      <c r="H52">
        <f t="shared" si="1"/>
        <v>16187</v>
      </c>
      <c r="I52">
        <v>19496</v>
      </c>
      <c r="J52">
        <v>15551</v>
      </c>
      <c r="K52" s="1">
        <f t="shared" si="0"/>
        <v>1.0408976914667867</v>
      </c>
    </row>
    <row r="53" spans="1:11" x14ac:dyDescent="0.35">
      <c r="A53">
        <v>2020</v>
      </c>
      <c r="B53" t="s">
        <v>11</v>
      </c>
      <c r="C53" t="s">
        <v>12</v>
      </c>
      <c r="D53" t="s">
        <v>20</v>
      </c>
      <c r="E53">
        <v>1093</v>
      </c>
      <c r="F53">
        <v>15035</v>
      </c>
      <c r="G53">
        <v>95</v>
      </c>
      <c r="H53">
        <f t="shared" si="1"/>
        <v>16223</v>
      </c>
      <c r="I53">
        <v>19939</v>
      </c>
      <c r="J53">
        <v>19630</v>
      </c>
      <c r="K53" s="1">
        <f t="shared" si="0"/>
        <v>0.82643912379011719</v>
      </c>
    </row>
    <row r="54" spans="1:11" x14ac:dyDescent="0.35">
      <c r="A54">
        <v>2021</v>
      </c>
      <c r="B54" t="s">
        <v>11</v>
      </c>
      <c r="C54" t="s">
        <v>12</v>
      </c>
      <c r="D54" t="s">
        <v>20</v>
      </c>
      <c r="E54">
        <v>1176</v>
      </c>
      <c r="F54">
        <v>14996</v>
      </c>
      <c r="G54">
        <v>97</v>
      </c>
      <c r="H54">
        <f t="shared" si="1"/>
        <v>16269</v>
      </c>
      <c r="I54">
        <v>20322</v>
      </c>
      <c r="J54">
        <v>19778</v>
      </c>
      <c r="K54" s="1">
        <f t="shared" si="0"/>
        <v>0.82258064516129037</v>
      </c>
    </row>
    <row r="55" spans="1:11" x14ac:dyDescent="0.35">
      <c r="A55">
        <v>2022</v>
      </c>
      <c r="B55" t="s">
        <v>11</v>
      </c>
      <c r="C55" t="s">
        <v>12</v>
      </c>
      <c r="D55" t="s">
        <v>20</v>
      </c>
      <c r="E55">
        <v>1351</v>
      </c>
      <c r="F55">
        <v>14959</v>
      </c>
      <c r="G55">
        <v>96</v>
      </c>
      <c r="H55">
        <f t="shared" si="1"/>
        <v>16406</v>
      </c>
      <c r="I55">
        <v>20658</v>
      </c>
      <c r="J55">
        <v>19907</v>
      </c>
      <c r="K55" s="1">
        <f t="shared" si="0"/>
        <v>0.82413221479881449</v>
      </c>
    </row>
    <row r="56" spans="1:11" x14ac:dyDescent="0.35">
      <c r="A56">
        <v>2023</v>
      </c>
      <c r="B56" t="s">
        <v>11</v>
      </c>
      <c r="C56" t="s">
        <v>12</v>
      </c>
      <c r="D56" t="s">
        <v>20</v>
      </c>
      <c r="E56">
        <v>1652</v>
      </c>
      <c r="F56">
        <v>14777</v>
      </c>
      <c r="G56">
        <v>100</v>
      </c>
      <c r="H56">
        <f t="shared" si="1"/>
        <v>16529</v>
      </c>
      <c r="I56">
        <v>21014</v>
      </c>
      <c r="J56">
        <v>20048</v>
      </c>
      <c r="K56" s="1">
        <f t="shared" si="0"/>
        <v>0.82447126895450917</v>
      </c>
    </row>
    <row r="57" spans="1:11" x14ac:dyDescent="0.35">
      <c r="A57">
        <v>2024</v>
      </c>
      <c r="B57" t="s">
        <v>11</v>
      </c>
      <c r="C57" t="s">
        <v>12</v>
      </c>
      <c r="D57" t="s">
        <v>20</v>
      </c>
      <c r="E57">
        <v>1677</v>
      </c>
      <c r="F57">
        <v>14755</v>
      </c>
      <c r="G57">
        <v>101</v>
      </c>
      <c r="H57">
        <f t="shared" si="1"/>
        <v>16533</v>
      </c>
      <c r="I57">
        <v>21334</v>
      </c>
      <c r="J57">
        <v>20640</v>
      </c>
      <c r="K57" s="1">
        <f t="shared" si="0"/>
        <v>0.80101744186046508</v>
      </c>
    </row>
    <row r="58" spans="1:11" x14ac:dyDescent="0.35">
      <c r="A58">
        <v>2018</v>
      </c>
      <c r="B58" t="s">
        <v>11</v>
      </c>
      <c r="C58" t="s">
        <v>12</v>
      </c>
      <c r="D58" t="s">
        <v>21</v>
      </c>
      <c r="E58">
        <v>646</v>
      </c>
      <c r="F58">
        <v>10948</v>
      </c>
      <c r="G58">
        <v>118</v>
      </c>
      <c r="H58">
        <f t="shared" si="1"/>
        <v>11712</v>
      </c>
      <c r="I58">
        <v>14864</v>
      </c>
      <c r="J58">
        <v>16046</v>
      </c>
      <c r="K58" s="1">
        <f t="shared" si="0"/>
        <v>0.7299015330923595</v>
      </c>
    </row>
    <row r="59" spans="1:11" x14ac:dyDescent="0.35">
      <c r="A59">
        <v>2019</v>
      </c>
      <c r="B59" t="s">
        <v>11</v>
      </c>
      <c r="C59" t="s">
        <v>12</v>
      </c>
      <c r="D59" t="s">
        <v>21</v>
      </c>
      <c r="E59">
        <v>720</v>
      </c>
      <c r="F59">
        <v>10664</v>
      </c>
      <c r="G59">
        <v>106</v>
      </c>
      <c r="H59">
        <f t="shared" si="1"/>
        <v>11490</v>
      </c>
      <c r="I59">
        <v>15152</v>
      </c>
      <c r="J59">
        <v>16315</v>
      </c>
      <c r="K59" s="1">
        <f t="shared" si="0"/>
        <v>0.70425988354275204</v>
      </c>
    </row>
    <row r="60" spans="1:11" x14ac:dyDescent="0.35">
      <c r="A60">
        <v>2020</v>
      </c>
      <c r="B60" t="s">
        <v>11</v>
      </c>
      <c r="C60" t="s">
        <v>12</v>
      </c>
      <c r="D60" t="s">
        <v>21</v>
      </c>
      <c r="E60">
        <v>920</v>
      </c>
      <c r="F60">
        <v>10536</v>
      </c>
      <c r="G60">
        <v>103</v>
      </c>
      <c r="H60">
        <f t="shared" si="1"/>
        <v>11559</v>
      </c>
      <c r="I60">
        <v>15432</v>
      </c>
      <c r="J60">
        <v>15280</v>
      </c>
      <c r="K60" s="1">
        <f t="shared" si="0"/>
        <v>0.75647905759162304</v>
      </c>
    </row>
    <row r="61" spans="1:11" x14ac:dyDescent="0.35">
      <c r="A61">
        <v>2021</v>
      </c>
      <c r="B61" t="s">
        <v>11</v>
      </c>
      <c r="C61" t="s">
        <v>12</v>
      </c>
      <c r="D61" t="s">
        <v>21</v>
      </c>
      <c r="E61">
        <v>1022</v>
      </c>
      <c r="F61">
        <v>10717</v>
      </c>
      <c r="G61">
        <v>101</v>
      </c>
      <c r="H61">
        <f t="shared" si="1"/>
        <v>11840</v>
      </c>
      <c r="I61">
        <v>15670</v>
      </c>
      <c r="J61">
        <v>15394</v>
      </c>
      <c r="K61" s="1">
        <f t="shared" si="0"/>
        <v>0.76913083019358186</v>
      </c>
    </row>
    <row r="62" spans="1:11" x14ac:dyDescent="0.35">
      <c r="A62">
        <v>2022</v>
      </c>
      <c r="B62" t="s">
        <v>11</v>
      </c>
      <c r="C62" t="s">
        <v>12</v>
      </c>
      <c r="D62" t="s">
        <v>21</v>
      </c>
      <c r="E62">
        <v>917</v>
      </c>
      <c r="F62">
        <v>10679</v>
      </c>
      <c r="G62">
        <v>103</v>
      </c>
      <c r="H62">
        <f t="shared" si="1"/>
        <v>11699</v>
      </c>
      <c r="I62">
        <v>15891</v>
      </c>
      <c r="J62">
        <v>15494</v>
      </c>
      <c r="K62" s="1">
        <f t="shared" si="0"/>
        <v>0.75506647734606946</v>
      </c>
    </row>
    <row r="63" spans="1:11" x14ac:dyDescent="0.35">
      <c r="A63">
        <v>2023</v>
      </c>
      <c r="B63" t="s">
        <v>11</v>
      </c>
      <c r="C63" t="s">
        <v>12</v>
      </c>
      <c r="D63" t="s">
        <v>21</v>
      </c>
      <c r="E63">
        <v>937</v>
      </c>
      <c r="F63">
        <v>10386</v>
      </c>
      <c r="G63">
        <v>115</v>
      </c>
      <c r="H63">
        <f t="shared" si="1"/>
        <v>11438</v>
      </c>
      <c r="I63">
        <v>16087</v>
      </c>
      <c r="J63">
        <v>15575</v>
      </c>
      <c r="K63" s="1">
        <f t="shared" si="0"/>
        <v>0.73438202247191009</v>
      </c>
    </row>
    <row r="64" spans="1:11" x14ac:dyDescent="0.35">
      <c r="A64">
        <v>2024</v>
      </c>
      <c r="B64" t="s">
        <v>11</v>
      </c>
      <c r="C64" t="s">
        <v>12</v>
      </c>
      <c r="D64" t="s">
        <v>21</v>
      </c>
      <c r="E64">
        <v>1035</v>
      </c>
      <c r="F64">
        <v>10252</v>
      </c>
      <c r="G64">
        <v>109</v>
      </c>
      <c r="H64">
        <f t="shared" si="1"/>
        <v>11396</v>
      </c>
      <c r="I64">
        <v>16297</v>
      </c>
      <c r="J64">
        <v>15870</v>
      </c>
      <c r="K64" s="1">
        <f t="shared" si="0"/>
        <v>0.71808443604284811</v>
      </c>
    </row>
    <row r="65" spans="1:11" x14ac:dyDescent="0.35">
      <c r="A65">
        <v>2018</v>
      </c>
      <c r="B65" t="s">
        <v>11</v>
      </c>
      <c r="C65" t="s">
        <v>12</v>
      </c>
      <c r="D65" t="s">
        <v>22</v>
      </c>
      <c r="E65">
        <v>14641</v>
      </c>
      <c r="F65">
        <v>92948</v>
      </c>
      <c r="G65">
        <v>3787</v>
      </c>
      <c r="H65">
        <f t="shared" si="1"/>
        <v>111376</v>
      </c>
      <c r="I65">
        <v>113908</v>
      </c>
      <c r="J65">
        <v>120558</v>
      </c>
      <c r="K65" s="1">
        <f t="shared" si="0"/>
        <v>0.92383748900943941</v>
      </c>
    </row>
    <row r="66" spans="1:11" x14ac:dyDescent="0.35">
      <c r="A66">
        <v>2019</v>
      </c>
      <c r="B66" t="s">
        <v>11</v>
      </c>
      <c r="C66" t="s">
        <v>12</v>
      </c>
      <c r="D66" t="s">
        <v>22</v>
      </c>
      <c r="E66">
        <v>16297</v>
      </c>
      <c r="F66">
        <v>92216</v>
      </c>
      <c r="G66">
        <v>3611</v>
      </c>
      <c r="H66">
        <f t="shared" si="1"/>
        <v>112124</v>
      </c>
      <c r="I66">
        <v>115527</v>
      </c>
      <c r="J66">
        <v>121214</v>
      </c>
      <c r="K66" s="1">
        <f t="shared" si="0"/>
        <v>0.92500866236573331</v>
      </c>
    </row>
    <row r="67" spans="1:11" x14ac:dyDescent="0.35">
      <c r="A67">
        <v>2020</v>
      </c>
      <c r="B67" t="s">
        <v>11</v>
      </c>
      <c r="C67" t="s">
        <v>12</v>
      </c>
      <c r="D67" t="s">
        <v>22</v>
      </c>
      <c r="E67">
        <v>16584</v>
      </c>
      <c r="F67">
        <v>95084</v>
      </c>
      <c r="G67">
        <v>3560</v>
      </c>
      <c r="H67">
        <f t="shared" si="1"/>
        <v>115228</v>
      </c>
      <c r="I67">
        <v>117394</v>
      </c>
      <c r="J67">
        <v>115932</v>
      </c>
      <c r="K67" s="1">
        <f t="shared" ref="K67:K175" si="2">+H67/J67</f>
        <v>0.99392747472656384</v>
      </c>
    </row>
    <row r="68" spans="1:11" x14ac:dyDescent="0.35">
      <c r="A68">
        <v>2021</v>
      </c>
      <c r="B68" t="s">
        <v>11</v>
      </c>
      <c r="C68" t="s">
        <v>12</v>
      </c>
      <c r="D68" t="s">
        <v>22</v>
      </c>
      <c r="E68">
        <v>18626</v>
      </c>
      <c r="F68">
        <v>93480</v>
      </c>
      <c r="G68">
        <v>3658</v>
      </c>
      <c r="H68">
        <f t="shared" si="1"/>
        <v>115764</v>
      </c>
      <c r="I68">
        <v>118492</v>
      </c>
      <c r="J68">
        <v>116795</v>
      </c>
      <c r="K68" s="1">
        <f t="shared" si="2"/>
        <v>0.99117256731880643</v>
      </c>
    </row>
    <row r="69" spans="1:11" x14ac:dyDescent="0.35">
      <c r="A69">
        <v>2022</v>
      </c>
      <c r="B69" t="s">
        <v>11</v>
      </c>
      <c r="C69" t="s">
        <v>12</v>
      </c>
      <c r="D69" t="s">
        <v>22</v>
      </c>
      <c r="E69">
        <v>17430</v>
      </c>
      <c r="F69">
        <v>94018</v>
      </c>
      <c r="G69">
        <v>3662</v>
      </c>
      <c r="H69">
        <f t="shared" si="1"/>
        <v>115110</v>
      </c>
      <c r="I69">
        <v>119192</v>
      </c>
      <c r="J69">
        <v>117555</v>
      </c>
      <c r="K69" s="1">
        <f t="shared" si="2"/>
        <v>0.97920122495853001</v>
      </c>
    </row>
    <row r="70" spans="1:11" x14ac:dyDescent="0.35">
      <c r="A70">
        <v>2023</v>
      </c>
      <c r="B70" t="s">
        <v>11</v>
      </c>
      <c r="C70" t="s">
        <v>12</v>
      </c>
      <c r="D70" t="s">
        <v>22</v>
      </c>
      <c r="E70">
        <v>18031</v>
      </c>
      <c r="F70">
        <v>94212</v>
      </c>
      <c r="G70">
        <v>3658</v>
      </c>
      <c r="H70">
        <f t="shared" si="1"/>
        <v>115901</v>
      </c>
      <c r="I70">
        <v>119776</v>
      </c>
      <c r="J70">
        <v>118320</v>
      </c>
      <c r="K70" s="1">
        <f t="shared" si="2"/>
        <v>0.97955544286680185</v>
      </c>
    </row>
    <row r="71" spans="1:11" x14ac:dyDescent="0.35">
      <c r="A71">
        <v>2024</v>
      </c>
      <c r="B71" t="s">
        <v>11</v>
      </c>
      <c r="C71" t="s">
        <v>12</v>
      </c>
      <c r="D71" t="s">
        <v>22</v>
      </c>
      <c r="E71">
        <v>17468</v>
      </c>
      <c r="F71">
        <v>93689</v>
      </c>
      <c r="G71">
        <v>3659</v>
      </c>
      <c r="H71">
        <f t="shared" si="1"/>
        <v>114816</v>
      </c>
      <c r="I71">
        <v>120346</v>
      </c>
      <c r="J71">
        <v>118840</v>
      </c>
      <c r="K71" s="1">
        <f t="shared" si="2"/>
        <v>0.96613934702120496</v>
      </c>
    </row>
    <row r="72" spans="1:11" x14ac:dyDescent="0.35">
      <c r="A72">
        <v>2018</v>
      </c>
      <c r="B72" t="s">
        <v>11</v>
      </c>
      <c r="C72" t="s">
        <v>12</v>
      </c>
      <c r="D72" t="s">
        <v>23</v>
      </c>
      <c r="E72">
        <v>323</v>
      </c>
      <c r="F72">
        <v>15550</v>
      </c>
      <c r="G72">
        <v>59</v>
      </c>
      <c r="H72">
        <f t="shared" si="1"/>
        <v>15932</v>
      </c>
      <c r="I72">
        <v>18724</v>
      </c>
      <c r="J72">
        <v>25947</v>
      </c>
      <c r="K72" s="1">
        <f t="shared" si="2"/>
        <v>0.61402088873472849</v>
      </c>
    </row>
    <row r="73" spans="1:11" x14ac:dyDescent="0.35">
      <c r="A73">
        <v>2019</v>
      </c>
      <c r="B73" t="s">
        <v>11</v>
      </c>
      <c r="C73" t="s">
        <v>12</v>
      </c>
      <c r="D73" t="s">
        <v>23</v>
      </c>
      <c r="E73">
        <v>426</v>
      </c>
      <c r="F73">
        <v>14721</v>
      </c>
      <c r="G73">
        <v>55</v>
      </c>
      <c r="H73">
        <f t="shared" si="1"/>
        <v>15202</v>
      </c>
      <c r="I73">
        <v>18882</v>
      </c>
      <c r="J73">
        <v>26705</v>
      </c>
      <c r="K73" s="1">
        <f t="shared" si="2"/>
        <v>0.56925669350308927</v>
      </c>
    </row>
    <row r="74" spans="1:11" x14ac:dyDescent="0.35">
      <c r="A74">
        <v>2020</v>
      </c>
      <c r="B74" t="s">
        <v>11</v>
      </c>
      <c r="C74" t="s">
        <v>12</v>
      </c>
      <c r="D74" t="s">
        <v>23</v>
      </c>
      <c r="E74">
        <v>453</v>
      </c>
      <c r="F74">
        <v>14689</v>
      </c>
      <c r="G74">
        <v>54</v>
      </c>
      <c r="H74">
        <f t="shared" si="1"/>
        <v>15196</v>
      </c>
      <c r="I74">
        <v>19038</v>
      </c>
      <c r="J74">
        <v>19395</v>
      </c>
      <c r="K74" s="1">
        <f t="shared" si="2"/>
        <v>0.78350090229440572</v>
      </c>
    </row>
    <row r="75" spans="1:11" x14ac:dyDescent="0.35">
      <c r="A75">
        <v>2021</v>
      </c>
      <c r="B75" t="s">
        <v>11</v>
      </c>
      <c r="C75" t="s">
        <v>12</v>
      </c>
      <c r="D75" t="s">
        <v>23</v>
      </c>
      <c r="E75">
        <v>490</v>
      </c>
      <c r="F75">
        <v>14543</v>
      </c>
      <c r="G75">
        <v>52</v>
      </c>
      <c r="H75">
        <f t="shared" ref="H75:H265" si="3">+SUM(E75:G75)</f>
        <v>15085</v>
      </c>
      <c r="I75">
        <v>19136</v>
      </c>
      <c r="J75">
        <v>19541</v>
      </c>
      <c r="K75" s="1">
        <f t="shared" si="2"/>
        <v>0.77196663425617928</v>
      </c>
    </row>
    <row r="76" spans="1:11" x14ac:dyDescent="0.35">
      <c r="A76">
        <v>2022</v>
      </c>
      <c r="B76" t="s">
        <v>11</v>
      </c>
      <c r="C76" t="s">
        <v>12</v>
      </c>
      <c r="D76" t="s">
        <v>23</v>
      </c>
      <c r="E76">
        <v>460</v>
      </c>
      <c r="F76">
        <v>14510</v>
      </c>
      <c r="G76">
        <v>53</v>
      </c>
      <c r="H76">
        <f t="shared" si="3"/>
        <v>15023</v>
      </c>
      <c r="I76">
        <v>19173</v>
      </c>
      <c r="J76">
        <v>19668</v>
      </c>
      <c r="K76" s="1">
        <f t="shared" si="2"/>
        <v>0.76382957087655079</v>
      </c>
    </row>
    <row r="77" spans="1:11" x14ac:dyDescent="0.35">
      <c r="A77">
        <v>2023</v>
      </c>
      <c r="B77" t="s">
        <v>11</v>
      </c>
      <c r="C77" t="s">
        <v>12</v>
      </c>
      <c r="D77" t="s">
        <v>23</v>
      </c>
      <c r="E77">
        <v>560</v>
      </c>
      <c r="F77">
        <v>14387</v>
      </c>
      <c r="G77">
        <v>60</v>
      </c>
      <c r="H77">
        <f t="shared" si="3"/>
        <v>15007</v>
      </c>
      <c r="I77">
        <v>19209</v>
      </c>
      <c r="J77">
        <v>19811</v>
      </c>
      <c r="K77" s="1">
        <f t="shared" si="2"/>
        <v>0.75750845489879359</v>
      </c>
    </row>
    <row r="78" spans="1:11" x14ac:dyDescent="0.35">
      <c r="A78">
        <v>2024</v>
      </c>
      <c r="B78" t="s">
        <v>11</v>
      </c>
      <c r="C78" t="s">
        <v>12</v>
      </c>
      <c r="D78" t="s">
        <v>23</v>
      </c>
      <c r="E78">
        <v>731</v>
      </c>
      <c r="F78">
        <v>14232</v>
      </c>
      <c r="G78">
        <v>67</v>
      </c>
      <c r="H78">
        <f t="shared" si="3"/>
        <v>15030</v>
      </c>
      <c r="I78">
        <v>19217</v>
      </c>
      <c r="J78">
        <v>20424</v>
      </c>
      <c r="K78" s="1">
        <f t="shared" si="2"/>
        <v>0.73589894242068155</v>
      </c>
    </row>
    <row r="79" spans="1:11" x14ac:dyDescent="0.35">
      <c r="A79">
        <v>2018</v>
      </c>
      <c r="B79" t="s">
        <v>11</v>
      </c>
      <c r="C79" t="s">
        <v>12</v>
      </c>
      <c r="D79" t="s">
        <v>24</v>
      </c>
      <c r="E79">
        <v>764</v>
      </c>
      <c r="F79">
        <v>13836</v>
      </c>
      <c r="G79">
        <v>180</v>
      </c>
      <c r="H79">
        <f t="shared" si="3"/>
        <v>14780</v>
      </c>
      <c r="I79">
        <v>19589</v>
      </c>
      <c r="J79">
        <v>15175</v>
      </c>
      <c r="K79" s="1">
        <f t="shared" si="2"/>
        <v>0.9739703459637562</v>
      </c>
    </row>
    <row r="80" spans="1:11" x14ac:dyDescent="0.35">
      <c r="A80">
        <v>2019</v>
      </c>
      <c r="B80" t="s">
        <v>11</v>
      </c>
      <c r="C80" t="s">
        <v>12</v>
      </c>
      <c r="D80" t="s">
        <v>24</v>
      </c>
      <c r="E80">
        <v>829</v>
      </c>
      <c r="F80">
        <v>13946</v>
      </c>
      <c r="G80">
        <v>174</v>
      </c>
      <c r="H80">
        <f t="shared" si="3"/>
        <v>14949</v>
      </c>
      <c r="I80">
        <v>20147</v>
      </c>
      <c r="J80">
        <v>15274</v>
      </c>
      <c r="K80" s="1">
        <f t="shared" si="2"/>
        <v>0.97872201126096636</v>
      </c>
    </row>
    <row r="81" spans="1:11" x14ac:dyDescent="0.35">
      <c r="A81">
        <v>2020</v>
      </c>
      <c r="B81" t="s">
        <v>11</v>
      </c>
      <c r="C81" t="s">
        <v>12</v>
      </c>
      <c r="D81" t="s">
        <v>24</v>
      </c>
      <c r="E81">
        <v>1056</v>
      </c>
      <c r="F81">
        <v>14025</v>
      </c>
      <c r="G81">
        <v>177</v>
      </c>
      <c r="H81">
        <f t="shared" si="3"/>
        <v>15258</v>
      </c>
      <c r="I81">
        <v>20754</v>
      </c>
      <c r="J81">
        <v>20201</v>
      </c>
      <c r="K81" s="1">
        <f t="shared" si="2"/>
        <v>0.75530914311172714</v>
      </c>
    </row>
    <row r="82" spans="1:11" x14ac:dyDescent="0.35">
      <c r="A82">
        <v>2021</v>
      </c>
      <c r="B82" t="s">
        <v>11</v>
      </c>
      <c r="C82" t="s">
        <v>12</v>
      </c>
      <c r="D82" t="s">
        <v>24</v>
      </c>
      <c r="E82">
        <v>1179</v>
      </c>
      <c r="F82">
        <v>14146</v>
      </c>
      <c r="G82">
        <v>170</v>
      </c>
      <c r="H82">
        <f t="shared" si="3"/>
        <v>15495</v>
      </c>
      <c r="I82">
        <v>21199</v>
      </c>
      <c r="J82">
        <v>20353</v>
      </c>
      <c r="K82" s="1">
        <f t="shared" si="2"/>
        <v>0.76131282857563998</v>
      </c>
    </row>
    <row r="83" spans="1:11" x14ac:dyDescent="0.35">
      <c r="A83">
        <v>2022</v>
      </c>
      <c r="B83" t="s">
        <v>11</v>
      </c>
      <c r="C83" t="s">
        <v>12</v>
      </c>
      <c r="D83" t="s">
        <v>24</v>
      </c>
      <c r="E83">
        <v>1219</v>
      </c>
      <c r="F83">
        <v>14125</v>
      </c>
      <c r="G83">
        <v>172</v>
      </c>
      <c r="H83">
        <f t="shared" si="3"/>
        <v>15516</v>
      </c>
      <c r="I83">
        <v>21549</v>
      </c>
      <c r="J83">
        <v>20486</v>
      </c>
      <c r="K83" s="1">
        <f t="shared" si="2"/>
        <v>0.75739529434735919</v>
      </c>
    </row>
    <row r="84" spans="1:11" x14ac:dyDescent="0.35">
      <c r="A84">
        <v>2023</v>
      </c>
      <c r="B84" t="s">
        <v>11</v>
      </c>
      <c r="C84" t="s">
        <v>12</v>
      </c>
      <c r="D84" t="s">
        <v>24</v>
      </c>
      <c r="E84">
        <v>1185</v>
      </c>
      <c r="F84">
        <v>13946</v>
      </c>
      <c r="G84">
        <v>183</v>
      </c>
      <c r="H84">
        <f t="shared" si="3"/>
        <v>15314</v>
      </c>
      <c r="I84">
        <v>21867</v>
      </c>
      <c r="J84">
        <v>20611</v>
      </c>
      <c r="K84" s="1">
        <f t="shared" si="2"/>
        <v>0.74300130998010772</v>
      </c>
    </row>
    <row r="85" spans="1:11" x14ac:dyDescent="0.35">
      <c r="A85">
        <v>2024</v>
      </c>
      <c r="B85" t="s">
        <v>11</v>
      </c>
      <c r="C85" t="s">
        <v>12</v>
      </c>
      <c r="D85" t="s">
        <v>24</v>
      </c>
      <c r="E85">
        <v>1349</v>
      </c>
      <c r="F85">
        <v>13773</v>
      </c>
      <c r="G85">
        <v>185</v>
      </c>
      <c r="H85">
        <f t="shared" si="3"/>
        <v>15307</v>
      </c>
      <c r="I85">
        <v>22186</v>
      </c>
      <c r="J85">
        <v>21183</v>
      </c>
      <c r="K85" s="1">
        <f t="shared" si="2"/>
        <v>0.72260775149884338</v>
      </c>
    </row>
    <row r="86" spans="1:11" x14ac:dyDescent="0.35">
      <c r="A86">
        <v>2018</v>
      </c>
      <c r="B86" t="s">
        <v>11</v>
      </c>
      <c r="C86" t="s">
        <v>12</v>
      </c>
      <c r="D86" t="s">
        <v>25</v>
      </c>
      <c r="E86">
        <v>980</v>
      </c>
      <c r="F86">
        <v>22071</v>
      </c>
      <c r="G86">
        <v>487</v>
      </c>
      <c r="H86">
        <f t="shared" si="3"/>
        <v>23538</v>
      </c>
      <c r="I86">
        <v>29843</v>
      </c>
      <c r="J86">
        <v>28708</v>
      </c>
      <c r="K86" s="1">
        <f t="shared" si="2"/>
        <v>0.81991082625052247</v>
      </c>
    </row>
    <row r="87" spans="1:11" x14ac:dyDescent="0.35">
      <c r="A87">
        <v>2019</v>
      </c>
      <c r="B87" t="s">
        <v>11</v>
      </c>
      <c r="C87" t="s">
        <v>12</v>
      </c>
      <c r="D87" t="s">
        <v>25</v>
      </c>
      <c r="E87">
        <v>1104</v>
      </c>
      <c r="F87">
        <v>22160</v>
      </c>
      <c r="G87">
        <v>470</v>
      </c>
      <c r="H87">
        <f t="shared" si="3"/>
        <v>23734</v>
      </c>
      <c r="I87">
        <v>30497</v>
      </c>
      <c r="J87">
        <v>29117</v>
      </c>
      <c r="K87" s="1">
        <f t="shared" si="2"/>
        <v>0.81512518460006178</v>
      </c>
    </row>
    <row r="88" spans="1:11" x14ac:dyDescent="0.35">
      <c r="A88">
        <v>2020</v>
      </c>
      <c r="B88" t="s">
        <v>11</v>
      </c>
      <c r="C88" t="s">
        <v>12</v>
      </c>
      <c r="D88" t="s">
        <v>25</v>
      </c>
      <c r="E88">
        <v>1240</v>
      </c>
      <c r="F88">
        <v>22727</v>
      </c>
      <c r="G88">
        <v>462</v>
      </c>
      <c r="H88">
        <f t="shared" si="3"/>
        <v>24429</v>
      </c>
      <c r="I88">
        <v>31240</v>
      </c>
      <c r="J88">
        <v>30708</v>
      </c>
      <c r="K88" s="1">
        <f t="shared" si="2"/>
        <v>0.79552559593591243</v>
      </c>
    </row>
    <row r="89" spans="1:11" x14ac:dyDescent="0.35">
      <c r="A89">
        <v>2021</v>
      </c>
      <c r="B89" t="s">
        <v>11</v>
      </c>
      <c r="C89" t="s">
        <v>12</v>
      </c>
      <c r="D89" t="s">
        <v>25</v>
      </c>
      <c r="E89">
        <v>1365</v>
      </c>
      <c r="F89">
        <v>23202</v>
      </c>
      <c r="G89">
        <v>464</v>
      </c>
      <c r="H89">
        <f t="shared" si="3"/>
        <v>25031</v>
      </c>
      <c r="I89">
        <v>31756</v>
      </c>
      <c r="J89">
        <v>30942</v>
      </c>
      <c r="K89" s="1">
        <f t="shared" si="2"/>
        <v>0.80896516062310131</v>
      </c>
    </row>
    <row r="90" spans="1:11" x14ac:dyDescent="0.35">
      <c r="A90">
        <v>2022</v>
      </c>
      <c r="B90" t="s">
        <v>11</v>
      </c>
      <c r="C90" t="s">
        <v>12</v>
      </c>
      <c r="D90" t="s">
        <v>25</v>
      </c>
      <c r="E90">
        <v>1349</v>
      </c>
      <c r="F90">
        <v>23344</v>
      </c>
      <c r="G90">
        <v>467</v>
      </c>
      <c r="H90">
        <f t="shared" si="3"/>
        <v>25160</v>
      </c>
      <c r="I90">
        <v>32145</v>
      </c>
      <c r="J90">
        <v>31145</v>
      </c>
      <c r="K90" s="1">
        <f t="shared" si="2"/>
        <v>0.80783432332637661</v>
      </c>
    </row>
    <row r="91" spans="1:11" x14ac:dyDescent="0.35">
      <c r="A91">
        <v>2023</v>
      </c>
      <c r="B91" t="s">
        <v>11</v>
      </c>
      <c r="C91" t="s">
        <v>12</v>
      </c>
      <c r="D91" t="s">
        <v>25</v>
      </c>
      <c r="E91">
        <v>1389</v>
      </c>
      <c r="F91">
        <v>23753</v>
      </c>
      <c r="G91">
        <v>465</v>
      </c>
      <c r="H91">
        <f t="shared" si="3"/>
        <v>25607</v>
      </c>
      <c r="I91">
        <v>32504</v>
      </c>
      <c r="J91">
        <v>31384</v>
      </c>
      <c r="K91" s="1">
        <f t="shared" si="2"/>
        <v>0.81592531226102472</v>
      </c>
    </row>
    <row r="92" spans="1:11" x14ac:dyDescent="0.35">
      <c r="A92">
        <v>2024</v>
      </c>
      <c r="B92" t="s">
        <v>11</v>
      </c>
      <c r="C92" t="s">
        <v>12</v>
      </c>
      <c r="D92" t="s">
        <v>25</v>
      </c>
      <c r="E92">
        <v>1639</v>
      </c>
      <c r="F92">
        <v>23581</v>
      </c>
      <c r="G92">
        <v>466</v>
      </c>
      <c r="H92">
        <f t="shared" si="3"/>
        <v>25686</v>
      </c>
      <c r="I92">
        <v>32846</v>
      </c>
      <c r="J92">
        <v>32536</v>
      </c>
      <c r="K92" s="1">
        <f t="shared" si="2"/>
        <v>0.78946397836242932</v>
      </c>
    </row>
    <row r="93" spans="1:11" x14ac:dyDescent="0.35">
      <c r="A93">
        <v>2018</v>
      </c>
      <c r="B93" t="s">
        <v>11</v>
      </c>
      <c r="C93" t="s">
        <v>12</v>
      </c>
      <c r="D93" t="s">
        <v>26</v>
      </c>
      <c r="E93">
        <v>20062</v>
      </c>
      <c r="F93">
        <v>60177</v>
      </c>
      <c r="G93">
        <v>1481</v>
      </c>
      <c r="H93">
        <f t="shared" si="3"/>
        <v>81720</v>
      </c>
      <c r="I93">
        <v>81628</v>
      </c>
      <c r="J93">
        <v>86858</v>
      </c>
      <c r="K93" s="1">
        <f t="shared" si="2"/>
        <v>0.94084597849363327</v>
      </c>
    </row>
    <row r="94" spans="1:11" x14ac:dyDescent="0.35">
      <c r="A94">
        <v>2019</v>
      </c>
      <c r="B94" t="s">
        <v>11</v>
      </c>
      <c r="C94" t="s">
        <v>12</v>
      </c>
      <c r="D94" t="s">
        <v>26</v>
      </c>
      <c r="E94">
        <v>20806</v>
      </c>
      <c r="F94">
        <v>58300</v>
      </c>
      <c r="G94">
        <v>1443</v>
      </c>
      <c r="H94">
        <f t="shared" si="3"/>
        <v>80549</v>
      </c>
      <c r="I94">
        <v>82839</v>
      </c>
      <c r="J94">
        <v>88674</v>
      </c>
      <c r="K94" s="1">
        <f t="shared" si="2"/>
        <v>0.90837223988993387</v>
      </c>
    </row>
    <row r="95" spans="1:11" x14ac:dyDescent="0.35">
      <c r="A95">
        <v>2020</v>
      </c>
      <c r="B95" t="s">
        <v>11</v>
      </c>
      <c r="C95" t="s">
        <v>12</v>
      </c>
      <c r="D95" t="s">
        <v>26</v>
      </c>
      <c r="E95">
        <v>22268</v>
      </c>
      <c r="F95">
        <v>58437</v>
      </c>
      <c r="G95">
        <v>1424</v>
      </c>
      <c r="H95">
        <f t="shared" si="3"/>
        <v>82129</v>
      </c>
      <c r="I95">
        <v>84104</v>
      </c>
      <c r="J95">
        <v>86243</v>
      </c>
      <c r="K95" s="1">
        <f t="shared" si="2"/>
        <v>0.95229757777442803</v>
      </c>
    </row>
    <row r="96" spans="1:11" x14ac:dyDescent="0.35">
      <c r="A96">
        <v>2021</v>
      </c>
      <c r="B96" t="s">
        <v>11</v>
      </c>
      <c r="C96" t="s">
        <v>12</v>
      </c>
      <c r="D96" t="s">
        <v>26</v>
      </c>
      <c r="E96">
        <v>23414</v>
      </c>
      <c r="F96">
        <v>58302</v>
      </c>
      <c r="G96">
        <v>1462</v>
      </c>
      <c r="H96">
        <f t="shared" si="3"/>
        <v>83178</v>
      </c>
      <c r="I96">
        <v>85112</v>
      </c>
      <c r="J96">
        <v>86895</v>
      </c>
      <c r="K96" s="1">
        <f t="shared" si="2"/>
        <v>0.95722423614707408</v>
      </c>
    </row>
    <row r="97" spans="1:11" x14ac:dyDescent="0.35">
      <c r="A97">
        <v>2022</v>
      </c>
      <c r="B97" t="s">
        <v>11</v>
      </c>
      <c r="C97" t="s">
        <v>12</v>
      </c>
      <c r="D97" t="s">
        <v>26</v>
      </c>
      <c r="E97">
        <v>22792</v>
      </c>
      <c r="F97">
        <v>59483</v>
      </c>
      <c r="G97">
        <v>1515</v>
      </c>
      <c r="H97">
        <f t="shared" si="3"/>
        <v>83790</v>
      </c>
      <c r="I97">
        <v>85926</v>
      </c>
      <c r="J97">
        <v>87461</v>
      </c>
      <c r="K97" s="1">
        <f t="shared" si="2"/>
        <v>0.95802700632281812</v>
      </c>
    </row>
    <row r="98" spans="1:11" x14ac:dyDescent="0.35">
      <c r="A98">
        <v>2023</v>
      </c>
      <c r="B98" t="s">
        <v>11</v>
      </c>
      <c r="C98" t="s">
        <v>12</v>
      </c>
      <c r="D98" t="s">
        <v>26</v>
      </c>
      <c r="E98">
        <v>22843</v>
      </c>
      <c r="F98">
        <v>60494</v>
      </c>
      <c r="G98">
        <v>1571</v>
      </c>
      <c r="H98">
        <f t="shared" si="3"/>
        <v>84908</v>
      </c>
      <c r="I98">
        <v>86707</v>
      </c>
      <c r="J98">
        <v>87971</v>
      </c>
      <c r="K98" s="1">
        <f t="shared" si="2"/>
        <v>0.96518170760818911</v>
      </c>
    </row>
    <row r="99" spans="1:11" x14ac:dyDescent="0.35">
      <c r="A99">
        <v>2024</v>
      </c>
      <c r="B99" t="s">
        <v>11</v>
      </c>
      <c r="C99" t="s">
        <v>12</v>
      </c>
      <c r="D99" t="s">
        <v>26</v>
      </c>
      <c r="E99">
        <v>23395</v>
      </c>
      <c r="F99">
        <v>60435</v>
      </c>
      <c r="G99">
        <v>1612</v>
      </c>
      <c r="H99">
        <f t="shared" si="3"/>
        <v>85442</v>
      </c>
      <c r="I99">
        <v>87467</v>
      </c>
      <c r="J99">
        <v>86922</v>
      </c>
      <c r="K99" s="1">
        <f t="shared" si="2"/>
        <v>0.98297324037642941</v>
      </c>
    </row>
    <row r="100" spans="1:11" x14ac:dyDescent="0.35">
      <c r="A100">
        <v>2018</v>
      </c>
      <c r="B100" t="s">
        <v>11</v>
      </c>
      <c r="C100" t="s">
        <v>12</v>
      </c>
      <c r="D100" t="s">
        <v>27</v>
      </c>
      <c r="E100">
        <v>169437</v>
      </c>
      <c r="F100">
        <v>314891</v>
      </c>
      <c r="G100">
        <v>16372</v>
      </c>
      <c r="H100">
        <f t="shared" si="3"/>
        <v>500700</v>
      </c>
      <c r="I100">
        <v>490941</v>
      </c>
      <c r="J100">
        <v>460082</v>
      </c>
      <c r="K100" s="1">
        <f t="shared" si="2"/>
        <v>1.0882842623706208</v>
      </c>
    </row>
    <row r="101" spans="1:11" x14ac:dyDescent="0.35">
      <c r="A101">
        <v>2019</v>
      </c>
      <c r="B101" t="s">
        <v>11</v>
      </c>
      <c r="C101" t="s">
        <v>12</v>
      </c>
      <c r="D101" t="s">
        <v>27</v>
      </c>
      <c r="E101">
        <v>174325</v>
      </c>
      <c r="F101">
        <v>313351</v>
      </c>
      <c r="G101">
        <v>15983</v>
      </c>
      <c r="H101">
        <f t="shared" si="3"/>
        <v>503659</v>
      </c>
      <c r="I101">
        <v>503974</v>
      </c>
      <c r="J101">
        <v>465999</v>
      </c>
      <c r="K101" s="1">
        <f t="shared" si="2"/>
        <v>1.0808156240678628</v>
      </c>
    </row>
    <row r="102" spans="1:11" x14ac:dyDescent="0.35">
      <c r="A102">
        <v>2020</v>
      </c>
      <c r="B102" t="s">
        <v>11</v>
      </c>
      <c r="C102" t="s">
        <v>12</v>
      </c>
      <c r="D102" t="s">
        <v>27</v>
      </c>
      <c r="E102">
        <v>177545</v>
      </c>
      <c r="F102">
        <v>317975</v>
      </c>
      <c r="G102">
        <v>16132</v>
      </c>
      <c r="H102">
        <f t="shared" si="3"/>
        <v>511652</v>
      </c>
      <c r="I102">
        <v>517476</v>
      </c>
      <c r="J102">
        <v>507442</v>
      </c>
      <c r="K102" s="1">
        <f t="shared" si="2"/>
        <v>1.0082965146755689</v>
      </c>
    </row>
    <row r="103" spans="1:11" x14ac:dyDescent="0.35">
      <c r="A103">
        <v>2021</v>
      </c>
      <c r="B103" t="s">
        <v>11</v>
      </c>
      <c r="C103" t="s">
        <v>12</v>
      </c>
      <c r="D103" t="s">
        <v>27</v>
      </c>
      <c r="E103">
        <v>196559</v>
      </c>
      <c r="F103">
        <v>309218</v>
      </c>
      <c r="G103">
        <v>16726</v>
      </c>
      <c r="H103">
        <f t="shared" si="3"/>
        <v>522503</v>
      </c>
      <c r="I103">
        <v>529652</v>
      </c>
      <c r="J103">
        <v>511273</v>
      </c>
      <c r="K103" s="1">
        <f t="shared" si="2"/>
        <v>1.0219647820244762</v>
      </c>
    </row>
    <row r="104" spans="1:11" x14ac:dyDescent="0.35">
      <c r="A104">
        <v>2022</v>
      </c>
      <c r="B104" t="s">
        <v>11</v>
      </c>
      <c r="C104" t="s">
        <v>12</v>
      </c>
      <c r="D104" t="s">
        <v>27</v>
      </c>
      <c r="E104">
        <v>186469</v>
      </c>
      <c r="F104">
        <v>325101</v>
      </c>
      <c r="G104">
        <v>16816</v>
      </c>
      <c r="H104">
        <f t="shared" si="3"/>
        <v>528386</v>
      </c>
      <c r="I104">
        <v>541042</v>
      </c>
      <c r="J104">
        <v>514603</v>
      </c>
      <c r="K104" s="1">
        <f t="shared" si="2"/>
        <v>1.0267837536897375</v>
      </c>
    </row>
    <row r="105" spans="1:11" x14ac:dyDescent="0.35">
      <c r="A105">
        <v>2023</v>
      </c>
      <c r="B105" t="s">
        <v>11</v>
      </c>
      <c r="C105" t="s">
        <v>12</v>
      </c>
      <c r="D105" t="s">
        <v>27</v>
      </c>
      <c r="E105">
        <v>190104</v>
      </c>
      <c r="F105">
        <v>325943</v>
      </c>
      <c r="G105">
        <v>17170</v>
      </c>
      <c r="H105">
        <f t="shared" si="3"/>
        <v>533217</v>
      </c>
      <c r="I105">
        <v>552371</v>
      </c>
      <c r="J105">
        <v>517511</v>
      </c>
      <c r="K105" s="1">
        <f t="shared" si="2"/>
        <v>1.03034911335218</v>
      </c>
    </row>
    <row r="106" spans="1:11" x14ac:dyDescent="0.35">
      <c r="A106">
        <v>2024</v>
      </c>
      <c r="B106" t="s">
        <v>11</v>
      </c>
      <c r="C106" t="s">
        <v>12</v>
      </c>
      <c r="D106" t="s">
        <v>27</v>
      </c>
      <c r="E106">
        <v>190078</v>
      </c>
      <c r="F106">
        <v>327118</v>
      </c>
      <c r="G106">
        <v>17217</v>
      </c>
      <c r="H106">
        <f t="shared" si="3"/>
        <v>534413</v>
      </c>
      <c r="I106">
        <v>563597</v>
      </c>
      <c r="J106">
        <v>529440</v>
      </c>
      <c r="K106" s="1">
        <f t="shared" si="2"/>
        <v>1.0093929434874584</v>
      </c>
    </row>
    <row r="107" spans="1:11" x14ac:dyDescent="0.35">
      <c r="A107">
        <v>2018</v>
      </c>
      <c r="B107" t="s">
        <v>11</v>
      </c>
      <c r="C107" t="s">
        <v>12</v>
      </c>
      <c r="D107" t="s">
        <v>28</v>
      </c>
      <c r="E107">
        <v>13299</v>
      </c>
      <c r="F107">
        <v>54011</v>
      </c>
      <c r="G107">
        <v>1601</v>
      </c>
      <c r="H107">
        <f t="shared" si="3"/>
        <v>68911</v>
      </c>
      <c r="I107">
        <v>64212</v>
      </c>
      <c r="J107">
        <v>68810</v>
      </c>
      <c r="K107" s="1">
        <f t="shared" si="2"/>
        <v>1.0014678099113501</v>
      </c>
    </row>
    <row r="108" spans="1:11" x14ac:dyDescent="0.35">
      <c r="A108">
        <v>2019</v>
      </c>
      <c r="B108" t="s">
        <v>11</v>
      </c>
      <c r="C108" t="s">
        <v>12</v>
      </c>
      <c r="D108" t="s">
        <v>28</v>
      </c>
      <c r="E108">
        <v>13538</v>
      </c>
      <c r="F108">
        <v>54340</v>
      </c>
      <c r="G108">
        <v>1580</v>
      </c>
      <c r="H108">
        <f t="shared" si="3"/>
        <v>69458</v>
      </c>
      <c r="I108">
        <v>64786</v>
      </c>
      <c r="J108">
        <v>69285</v>
      </c>
      <c r="K108" s="1">
        <f t="shared" si="2"/>
        <v>1.0024969329580717</v>
      </c>
    </row>
    <row r="109" spans="1:11" x14ac:dyDescent="0.35">
      <c r="A109">
        <v>2020</v>
      </c>
      <c r="B109" t="s">
        <v>11</v>
      </c>
      <c r="C109" t="s">
        <v>12</v>
      </c>
      <c r="D109" t="s">
        <v>28</v>
      </c>
      <c r="E109">
        <v>13985</v>
      </c>
      <c r="F109">
        <v>54514</v>
      </c>
      <c r="G109">
        <v>1570</v>
      </c>
      <c r="H109">
        <f t="shared" si="3"/>
        <v>70069</v>
      </c>
      <c r="I109">
        <v>65408</v>
      </c>
      <c r="J109">
        <v>65040</v>
      </c>
      <c r="K109" s="1">
        <f t="shared" si="2"/>
        <v>1.0773216482164822</v>
      </c>
    </row>
    <row r="110" spans="1:11" x14ac:dyDescent="0.35">
      <c r="A110">
        <v>2021</v>
      </c>
      <c r="B110" t="s">
        <v>11</v>
      </c>
      <c r="C110" t="s">
        <v>12</v>
      </c>
      <c r="D110" t="s">
        <v>28</v>
      </c>
      <c r="E110">
        <v>14147</v>
      </c>
      <c r="F110">
        <v>53808</v>
      </c>
      <c r="G110">
        <v>1615</v>
      </c>
      <c r="H110">
        <f t="shared" si="3"/>
        <v>69570</v>
      </c>
      <c r="I110">
        <v>65791</v>
      </c>
      <c r="J110">
        <v>65525</v>
      </c>
      <c r="K110" s="1">
        <f t="shared" si="2"/>
        <v>1.0617321632964518</v>
      </c>
    </row>
    <row r="111" spans="1:11" x14ac:dyDescent="0.35">
      <c r="A111">
        <v>2022</v>
      </c>
      <c r="B111" t="s">
        <v>11</v>
      </c>
      <c r="C111" t="s">
        <v>12</v>
      </c>
      <c r="D111" t="s">
        <v>28</v>
      </c>
      <c r="E111">
        <v>13389</v>
      </c>
      <c r="F111">
        <v>54533</v>
      </c>
      <c r="G111">
        <v>1622</v>
      </c>
      <c r="H111">
        <f t="shared" si="3"/>
        <v>69544</v>
      </c>
      <c r="I111">
        <v>66048</v>
      </c>
      <c r="J111">
        <v>65951</v>
      </c>
      <c r="K111" s="1">
        <f t="shared" si="2"/>
        <v>1.0544798410941456</v>
      </c>
    </row>
    <row r="112" spans="1:11" x14ac:dyDescent="0.35">
      <c r="A112">
        <v>2023</v>
      </c>
      <c r="B112" t="s">
        <v>11</v>
      </c>
      <c r="C112" t="s">
        <v>12</v>
      </c>
      <c r="D112" t="s">
        <v>28</v>
      </c>
      <c r="E112">
        <v>13480</v>
      </c>
      <c r="F112">
        <v>54287</v>
      </c>
      <c r="G112">
        <v>1656</v>
      </c>
      <c r="H112">
        <f t="shared" si="3"/>
        <v>69423</v>
      </c>
      <c r="I112">
        <v>66266</v>
      </c>
      <c r="J112">
        <v>66339</v>
      </c>
      <c r="K112" s="1">
        <f t="shared" si="2"/>
        <v>1.0464884909329353</v>
      </c>
    </row>
    <row r="113" spans="1:11" x14ac:dyDescent="0.35">
      <c r="A113">
        <v>2024</v>
      </c>
      <c r="B113" t="s">
        <v>11</v>
      </c>
      <c r="C113" t="s">
        <v>12</v>
      </c>
      <c r="D113" t="s">
        <v>28</v>
      </c>
      <c r="E113">
        <v>13450</v>
      </c>
      <c r="F113">
        <v>54068</v>
      </c>
      <c r="G113">
        <v>1615</v>
      </c>
      <c r="H113">
        <f t="shared" si="3"/>
        <v>69133</v>
      </c>
      <c r="I113">
        <v>66459</v>
      </c>
      <c r="J113">
        <v>69100</v>
      </c>
      <c r="K113" s="1">
        <f t="shared" si="2"/>
        <v>1.0004775687409551</v>
      </c>
    </row>
    <row r="114" spans="1:11" x14ac:dyDescent="0.35">
      <c r="A114">
        <v>2018</v>
      </c>
      <c r="B114" t="s">
        <v>11</v>
      </c>
      <c r="C114" t="s">
        <v>12</v>
      </c>
      <c r="D114" t="s">
        <v>29</v>
      </c>
      <c r="E114">
        <v>2079</v>
      </c>
      <c r="F114">
        <v>26469</v>
      </c>
      <c r="G114">
        <v>573</v>
      </c>
      <c r="H114">
        <f t="shared" si="3"/>
        <v>29121</v>
      </c>
      <c r="I114">
        <v>35650</v>
      </c>
      <c r="J114">
        <v>40911</v>
      </c>
      <c r="K114" s="1">
        <f t="shared" si="2"/>
        <v>0.71181344870572705</v>
      </c>
    </row>
    <row r="115" spans="1:11" x14ac:dyDescent="0.35">
      <c r="A115">
        <v>2019</v>
      </c>
      <c r="B115" t="s">
        <v>11</v>
      </c>
      <c r="C115" t="s">
        <v>12</v>
      </c>
      <c r="D115" t="s">
        <v>29</v>
      </c>
      <c r="E115">
        <v>2497</v>
      </c>
      <c r="F115">
        <v>26430</v>
      </c>
      <c r="G115">
        <v>565</v>
      </c>
      <c r="H115">
        <f t="shared" si="3"/>
        <v>29492</v>
      </c>
      <c r="I115">
        <v>36160</v>
      </c>
      <c r="J115">
        <v>41684</v>
      </c>
      <c r="K115" s="1">
        <f t="shared" si="2"/>
        <v>0.70751367431148637</v>
      </c>
    </row>
    <row r="116" spans="1:11" x14ac:dyDescent="0.35">
      <c r="A116">
        <v>2020</v>
      </c>
      <c r="B116" t="s">
        <v>11</v>
      </c>
      <c r="C116" t="s">
        <v>12</v>
      </c>
      <c r="D116" t="s">
        <v>29</v>
      </c>
      <c r="E116">
        <v>2926</v>
      </c>
      <c r="F116">
        <v>26324</v>
      </c>
      <c r="G116">
        <v>567</v>
      </c>
      <c r="H116">
        <f t="shared" si="3"/>
        <v>29817</v>
      </c>
      <c r="I116">
        <v>36735</v>
      </c>
      <c r="J116">
        <v>36635</v>
      </c>
      <c r="K116" s="1">
        <f t="shared" si="2"/>
        <v>0.81389381738774391</v>
      </c>
    </row>
    <row r="117" spans="1:11" x14ac:dyDescent="0.35">
      <c r="A117">
        <v>2021</v>
      </c>
      <c r="B117" t="s">
        <v>11</v>
      </c>
      <c r="C117" t="s">
        <v>12</v>
      </c>
      <c r="D117" t="s">
        <v>29</v>
      </c>
      <c r="E117">
        <v>3253</v>
      </c>
      <c r="F117">
        <v>26367</v>
      </c>
      <c r="G117">
        <v>570</v>
      </c>
      <c r="H117">
        <f t="shared" si="3"/>
        <v>30190</v>
      </c>
      <c r="I117">
        <v>37099</v>
      </c>
      <c r="J117">
        <v>36908</v>
      </c>
      <c r="K117" s="1">
        <f t="shared" si="2"/>
        <v>0.81797984176872218</v>
      </c>
    </row>
    <row r="118" spans="1:11" x14ac:dyDescent="0.35">
      <c r="A118">
        <v>2022</v>
      </c>
      <c r="B118" t="s">
        <v>11</v>
      </c>
      <c r="C118" t="s">
        <v>12</v>
      </c>
      <c r="D118" t="s">
        <v>29</v>
      </c>
      <c r="E118">
        <v>3870</v>
      </c>
      <c r="F118">
        <v>26489</v>
      </c>
      <c r="G118">
        <v>575</v>
      </c>
      <c r="H118">
        <f t="shared" si="3"/>
        <v>30934</v>
      </c>
      <c r="I118">
        <v>37426</v>
      </c>
      <c r="J118">
        <v>37148</v>
      </c>
      <c r="K118" s="1">
        <f t="shared" si="2"/>
        <v>0.8327231614084204</v>
      </c>
    </row>
    <row r="119" spans="1:11" x14ac:dyDescent="0.35">
      <c r="A119">
        <v>2023</v>
      </c>
      <c r="B119" t="s">
        <v>11</v>
      </c>
      <c r="C119" t="s">
        <v>12</v>
      </c>
      <c r="D119" t="s">
        <v>29</v>
      </c>
      <c r="E119">
        <v>4381</v>
      </c>
      <c r="F119">
        <v>26447</v>
      </c>
      <c r="G119">
        <v>580</v>
      </c>
      <c r="H119">
        <f t="shared" si="3"/>
        <v>31408</v>
      </c>
      <c r="I119">
        <v>37711</v>
      </c>
      <c r="J119">
        <v>37403</v>
      </c>
      <c r="K119" s="1">
        <f t="shared" si="2"/>
        <v>0.83971873913857176</v>
      </c>
    </row>
    <row r="120" spans="1:11" x14ac:dyDescent="0.35">
      <c r="A120">
        <v>2024</v>
      </c>
      <c r="B120" t="s">
        <v>11</v>
      </c>
      <c r="C120" t="s">
        <v>12</v>
      </c>
      <c r="D120" t="s">
        <v>29</v>
      </c>
      <c r="E120">
        <v>4451</v>
      </c>
      <c r="F120">
        <v>26580</v>
      </c>
      <c r="G120">
        <v>571</v>
      </c>
      <c r="H120">
        <f t="shared" si="3"/>
        <v>31602</v>
      </c>
      <c r="I120">
        <v>37976</v>
      </c>
      <c r="J120">
        <v>38796</v>
      </c>
      <c r="K120" s="1">
        <f t="shared" si="2"/>
        <v>0.81456851221775439</v>
      </c>
    </row>
    <row r="121" spans="1:11" x14ac:dyDescent="0.35">
      <c r="A121">
        <v>2018</v>
      </c>
      <c r="B121" t="s">
        <v>11</v>
      </c>
      <c r="C121" t="s">
        <v>12</v>
      </c>
      <c r="D121" t="s">
        <v>30</v>
      </c>
      <c r="E121">
        <v>692</v>
      </c>
      <c r="F121">
        <v>19842</v>
      </c>
      <c r="G121">
        <v>300</v>
      </c>
      <c r="H121">
        <f t="shared" si="3"/>
        <v>20834</v>
      </c>
      <c r="I121">
        <v>23635</v>
      </c>
      <c r="J121">
        <v>31834</v>
      </c>
      <c r="K121" s="1">
        <f t="shared" si="2"/>
        <v>0.6544574982722875</v>
      </c>
    </row>
    <row r="122" spans="1:11" x14ac:dyDescent="0.35">
      <c r="A122">
        <v>2019</v>
      </c>
      <c r="B122" t="s">
        <v>11</v>
      </c>
      <c r="C122" t="s">
        <v>12</v>
      </c>
      <c r="D122" t="s">
        <v>30</v>
      </c>
      <c r="E122">
        <v>816</v>
      </c>
      <c r="F122">
        <v>19431</v>
      </c>
      <c r="G122">
        <v>290</v>
      </c>
      <c r="H122">
        <f t="shared" si="3"/>
        <v>20537</v>
      </c>
      <c r="I122">
        <v>23901</v>
      </c>
      <c r="J122">
        <v>32745</v>
      </c>
      <c r="K122" s="1">
        <f t="shared" si="2"/>
        <v>0.6271797220949763</v>
      </c>
    </row>
    <row r="123" spans="1:11" x14ac:dyDescent="0.35">
      <c r="A123">
        <v>2020</v>
      </c>
      <c r="B123" t="s">
        <v>11</v>
      </c>
      <c r="C123" t="s">
        <v>12</v>
      </c>
      <c r="D123" t="s">
        <v>30</v>
      </c>
      <c r="E123">
        <v>944</v>
      </c>
      <c r="F123">
        <v>19355</v>
      </c>
      <c r="G123">
        <v>298</v>
      </c>
      <c r="H123">
        <f t="shared" si="3"/>
        <v>20597</v>
      </c>
      <c r="I123">
        <v>24206</v>
      </c>
      <c r="J123">
        <v>24466</v>
      </c>
      <c r="K123" s="1">
        <f t="shared" si="2"/>
        <v>0.84186217608109215</v>
      </c>
    </row>
    <row r="124" spans="1:11" x14ac:dyDescent="0.35">
      <c r="A124">
        <v>2021</v>
      </c>
      <c r="B124" t="s">
        <v>11</v>
      </c>
      <c r="C124" t="s">
        <v>12</v>
      </c>
      <c r="D124" t="s">
        <v>30</v>
      </c>
      <c r="E124">
        <v>1034</v>
      </c>
      <c r="F124">
        <v>19376</v>
      </c>
      <c r="G124">
        <v>287</v>
      </c>
      <c r="H124">
        <f t="shared" si="3"/>
        <v>20697</v>
      </c>
      <c r="I124">
        <v>24370</v>
      </c>
      <c r="J124">
        <v>24650</v>
      </c>
      <c r="K124" s="1">
        <f t="shared" si="2"/>
        <v>0.83963488843813383</v>
      </c>
    </row>
    <row r="125" spans="1:11" x14ac:dyDescent="0.35">
      <c r="A125">
        <v>2022</v>
      </c>
      <c r="B125" t="s">
        <v>11</v>
      </c>
      <c r="C125" t="s">
        <v>12</v>
      </c>
      <c r="D125" t="s">
        <v>30</v>
      </c>
      <c r="E125">
        <v>1087</v>
      </c>
      <c r="F125">
        <v>19245</v>
      </c>
      <c r="G125">
        <v>285</v>
      </c>
      <c r="H125">
        <f t="shared" si="3"/>
        <v>20617</v>
      </c>
      <c r="I125">
        <v>24454</v>
      </c>
      <c r="J125">
        <v>24811</v>
      </c>
      <c r="K125" s="1">
        <f t="shared" si="2"/>
        <v>0.83096207327395111</v>
      </c>
    </row>
    <row r="126" spans="1:11" x14ac:dyDescent="0.35">
      <c r="A126">
        <v>2023</v>
      </c>
      <c r="B126" t="s">
        <v>11</v>
      </c>
      <c r="C126" t="s">
        <v>12</v>
      </c>
      <c r="D126" t="s">
        <v>30</v>
      </c>
      <c r="E126">
        <v>1067</v>
      </c>
      <c r="F126">
        <v>19418</v>
      </c>
      <c r="G126">
        <v>299</v>
      </c>
      <c r="H126">
        <f t="shared" si="3"/>
        <v>20784</v>
      </c>
      <c r="I126">
        <v>24584</v>
      </c>
      <c r="J126">
        <v>24987</v>
      </c>
      <c r="K126" s="1">
        <f t="shared" si="2"/>
        <v>0.83179253211670068</v>
      </c>
    </row>
    <row r="127" spans="1:11" x14ac:dyDescent="0.35">
      <c r="A127">
        <v>2024</v>
      </c>
      <c r="B127" t="s">
        <v>11</v>
      </c>
      <c r="C127" t="s">
        <v>12</v>
      </c>
      <c r="D127" t="s">
        <v>30</v>
      </c>
      <c r="E127">
        <v>1161</v>
      </c>
      <c r="F127">
        <v>19290</v>
      </c>
      <c r="G127">
        <v>289</v>
      </c>
      <c r="H127">
        <f t="shared" si="3"/>
        <v>20740</v>
      </c>
      <c r="I127">
        <v>24650</v>
      </c>
      <c r="J127">
        <v>25818</v>
      </c>
      <c r="K127" s="1">
        <f t="shared" si="2"/>
        <v>0.80331551630645281</v>
      </c>
    </row>
    <row r="128" spans="1:11" x14ac:dyDescent="0.35">
      <c r="A128">
        <v>2018</v>
      </c>
      <c r="B128" t="s">
        <v>11</v>
      </c>
      <c r="C128" t="s">
        <v>12</v>
      </c>
      <c r="D128" t="s">
        <v>31</v>
      </c>
      <c r="E128">
        <v>2610</v>
      </c>
      <c r="F128">
        <v>35201</v>
      </c>
      <c r="G128">
        <v>434</v>
      </c>
      <c r="H128">
        <f t="shared" si="3"/>
        <v>38245</v>
      </c>
      <c r="I128">
        <v>41875</v>
      </c>
      <c r="J128">
        <v>52371</v>
      </c>
      <c r="K128" s="1">
        <f t="shared" si="2"/>
        <v>0.73027056959004033</v>
      </c>
    </row>
    <row r="129" spans="1:11" x14ac:dyDescent="0.35">
      <c r="A129">
        <v>2019</v>
      </c>
      <c r="B129" t="s">
        <v>11</v>
      </c>
      <c r="C129" t="s">
        <v>12</v>
      </c>
      <c r="D129" t="s">
        <v>31</v>
      </c>
      <c r="E129">
        <v>2964</v>
      </c>
      <c r="F129">
        <v>35853</v>
      </c>
      <c r="G129">
        <v>418</v>
      </c>
      <c r="H129">
        <f t="shared" si="3"/>
        <v>39235</v>
      </c>
      <c r="I129">
        <v>42662</v>
      </c>
      <c r="J129">
        <v>53990</v>
      </c>
      <c r="K129" s="1">
        <f t="shared" si="2"/>
        <v>0.72670864974995375</v>
      </c>
    </row>
    <row r="130" spans="1:11" x14ac:dyDescent="0.35">
      <c r="A130">
        <v>2020</v>
      </c>
      <c r="B130" t="s">
        <v>11</v>
      </c>
      <c r="C130" t="s">
        <v>12</v>
      </c>
      <c r="D130" t="s">
        <v>31</v>
      </c>
      <c r="E130">
        <v>3764</v>
      </c>
      <c r="F130">
        <v>35246</v>
      </c>
      <c r="G130">
        <v>423</v>
      </c>
      <c r="H130">
        <f t="shared" si="3"/>
        <v>39433</v>
      </c>
      <c r="I130">
        <v>43486</v>
      </c>
      <c r="J130">
        <v>43755</v>
      </c>
      <c r="K130" s="1">
        <f t="shared" si="2"/>
        <v>0.90122271740372528</v>
      </c>
    </row>
    <row r="131" spans="1:11" x14ac:dyDescent="0.35">
      <c r="A131">
        <v>2021</v>
      </c>
      <c r="B131" t="s">
        <v>11</v>
      </c>
      <c r="C131" t="s">
        <v>12</v>
      </c>
      <c r="D131" t="s">
        <v>31</v>
      </c>
      <c r="E131">
        <v>4393</v>
      </c>
      <c r="F131">
        <v>35258</v>
      </c>
      <c r="G131">
        <v>421</v>
      </c>
      <c r="H131">
        <f t="shared" si="3"/>
        <v>40072</v>
      </c>
      <c r="I131">
        <v>44120</v>
      </c>
      <c r="J131">
        <v>44085</v>
      </c>
      <c r="K131" s="1">
        <f t="shared" si="2"/>
        <v>0.90897130543268689</v>
      </c>
    </row>
    <row r="132" spans="1:11" x14ac:dyDescent="0.35">
      <c r="A132">
        <v>2022</v>
      </c>
      <c r="B132" t="s">
        <v>11</v>
      </c>
      <c r="C132" t="s">
        <v>12</v>
      </c>
      <c r="D132" t="s">
        <v>31</v>
      </c>
      <c r="E132">
        <v>4629</v>
      </c>
      <c r="F132">
        <v>35709</v>
      </c>
      <c r="G132">
        <v>447</v>
      </c>
      <c r="H132">
        <f t="shared" si="3"/>
        <v>40785</v>
      </c>
      <c r="I132">
        <v>44660</v>
      </c>
      <c r="J132">
        <v>44372</v>
      </c>
      <c r="K132" s="1">
        <f t="shared" si="2"/>
        <v>0.91916073199314885</v>
      </c>
    </row>
    <row r="133" spans="1:11" x14ac:dyDescent="0.35">
      <c r="A133">
        <v>2023</v>
      </c>
      <c r="B133" t="s">
        <v>11</v>
      </c>
      <c r="C133" t="s">
        <v>12</v>
      </c>
      <c r="D133" t="s">
        <v>31</v>
      </c>
      <c r="E133">
        <v>4203</v>
      </c>
      <c r="F133">
        <v>36757</v>
      </c>
      <c r="G133">
        <v>474</v>
      </c>
      <c r="H133">
        <f t="shared" si="3"/>
        <v>41434</v>
      </c>
      <c r="I133">
        <v>45186</v>
      </c>
      <c r="J133">
        <v>44673</v>
      </c>
      <c r="K133" s="1">
        <f t="shared" si="2"/>
        <v>0.92749535513621206</v>
      </c>
    </row>
    <row r="134" spans="1:11" x14ac:dyDescent="0.35">
      <c r="A134">
        <v>2024</v>
      </c>
      <c r="B134" t="s">
        <v>11</v>
      </c>
      <c r="C134" t="s">
        <v>12</v>
      </c>
      <c r="D134" t="s">
        <v>31</v>
      </c>
      <c r="E134">
        <v>4437</v>
      </c>
      <c r="F134">
        <v>36518</v>
      </c>
      <c r="G134">
        <v>528</v>
      </c>
      <c r="H134">
        <f t="shared" si="3"/>
        <v>41483</v>
      </c>
      <c r="I134">
        <v>45697</v>
      </c>
      <c r="J134">
        <v>45591</v>
      </c>
      <c r="K134" s="1">
        <f t="shared" si="2"/>
        <v>0.90989449672084399</v>
      </c>
    </row>
    <row r="135" spans="1:11" x14ac:dyDescent="0.35">
      <c r="A135">
        <v>2018</v>
      </c>
      <c r="B135" t="s">
        <v>11</v>
      </c>
      <c r="C135" t="s">
        <v>12</v>
      </c>
      <c r="D135" t="s">
        <v>32</v>
      </c>
      <c r="E135">
        <v>757</v>
      </c>
      <c r="F135">
        <v>13434</v>
      </c>
      <c r="G135">
        <v>236</v>
      </c>
      <c r="H135">
        <f t="shared" si="3"/>
        <v>14427</v>
      </c>
      <c r="I135">
        <v>17190</v>
      </c>
      <c r="J135">
        <v>15172</v>
      </c>
      <c r="K135" s="1">
        <f t="shared" si="2"/>
        <v>0.95089638808331134</v>
      </c>
    </row>
    <row r="136" spans="1:11" x14ac:dyDescent="0.35">
      <c r="A136">
        <v>2019</v>
      </c>
      <c r="B136" t="s">
        <v>11</v>
      </c>
      <c r="C136" t="s">
        <v>12</v>
      </c>
      <c r="D136" t="s">
        <v>32</v>
      </c>
      <c r="E136">
        <v>866</v>
      </c>
      <c r="F136">
        <v>13631</v>
      </c>
      <c r="G136">
        <v>225</v>
      </c>
      <c r="H136">
        <f t="shared" si="3"/>
        <v>14722</v>
      </c>
      <c r="I136">
        <v>17607</v>
      </c>
      <c r="J136">
        <v>15189</v>
      </c>
      <c r="K136" s="1">
        <f t="shared" si="2"/>
        <v>0.96925406544209625</v>
      </c>
    </row>
    <row r="137" spans="1:11" x14ac:dyDescent="0.35">
      <c r="A137">
        <v>2020</v>
      </c>
      <c r="B137" t="s">
        <v>11</v>
      </c>
      <c r="C137" t="s">
        <v>12</v>
      </c>
      <c r="D137" t="s">
        <v>32</v>
      </c>
      <c r="E137">
        <v>960</v>
      </c>
      <c r="F137">
        <v>13717</v>
      </c>
      <c r="G137">
        <v>219</v>
      </c>
      <c r="H137">
        <f t="shared" si="3"/>
        <v>14896</v>
      </c>
      <c r="I137">
        <v>18019</v>
      </c>
      <c r="J137">
        <v>17659</v>
      </c>
      <c r="K137" s="1">
        <f t="shared" si="2"/>
        <v>0.84353587405855368</v>
      </c>
    </row>
    <row r="138" spans="1:11" x14ac:dyDescent="0.35">
      <c r="A138">
        <v>2021</v>
      </c>
      <c r="B138" t="s">
        <v>11</v>
      </c>
      <c r="C138" t="s">
        <v>12</v>
      </c>
      <c r="D138" t="s">
        <v>32</v>
      </c>
      <c r="E138">
        <v>1105</v>
      </c>
      <c r="F138">
        <v>13634</v>
      </c>
      <c r="G138">
        <v>225</v>
      </c>
      <c r="H138">
        <f t="shared" si="3"/>
        <v>14964</v>
      </c>
      <c r="I138">
        <v>18336</v>
      </c>
      <c r="J138">
        <v>17790</v>
      </c>
      <c r="K138" s="1">
        <f t="shared" si="2"/>
        <v>0.84114671163575039</v>
      </c>
    </row>
    <row r="139" spans="1:11" x14ac:dyDescent="0.35">
      <c r="A139">
        <v>2022</v>
      </c>
      <c r="B139" t="s">
        <v>11</v>
      </c>
      <c r="C139" t="s">
        <v>12</v>
      </c>
      <c r="D139" t="s">
        <v>32</v>
      </c>
      <c r="E139">
        <v>1183</v>
      </c>
      <c r="F139">
        <v>13753</v>
      </c>
      <c r="G139">
        <v>221</v>
      </c>
      <c r="H139">
        <f t="shared" si="3"/>
        <v>15157</v>
      </c>
      <c r="I139">
        <v>18605</v>
      </c>
      <c r="J139">
        <v>17906</v>
      </c>
      <c r="K139" s="1">
        <f t="shared" si="2"/>
        <v>0.8464760415503183</v>
      </c>
    </row>
    <row r="140" spans="1:11" x14ac:dyDescent="0.35">
      <c r="A140">
        <v>2023</v>
      </c>
      <c r="B140" t="s">
        <v>11</v>
      </c>
      <c r="C140" t="s">
        <v>12</v>
      </c>
      <c r="D140" t="s">
        <v>32</v>
      </c>
      <c r="E140">
        <v>1179</v>
      </c>
      <c r="F140">
        <v>13806</v>
      </c>
      <c r="G140">
        <v>223</v>
      </c>
      <c r="H140">
        <f t="shared" si="3"/>
        <v>15208</v>
      </c>
      <c r="I140">
        <v>18835</v>
      </c>
      <c r="J140">
        <v>18018</v>
      </c>
      <c r="K140" s="1">
        <f t="shared" si="2"/>
        <v>0.84404484404484403</v>
      </c>
    </row>
    <row r="141" spans="1:11" x14ac:dyDescent="0.35">
      <c r="A141">
        <v>2024</v>
      </c>
      <c r="B141" t="s">
        <v>11</v>
      </c>
      <c r="C141" t="s">
        <v>12</v>
      </c>
      <c r="D141" t="s">
        <v>32</v>
      </c>
      <c r="E141">
        <v>1306</v>
      </c>
      <c r="F141">
        <v>13665</v>
      </c>
      <c r="G141">
        <v>223</v>
      </c>
      <c r="H141">
        <f t="shared" si="3"/>
        <v>15194</v>
      </c>
      <c r="I141">
        <v>19091</v>
      </c>
      <c r="J141">
        <v>18658</v>
      </c>
      <c r="K141" s="1">
        <f t="shared" si="2"/>
        <v>0.81434237324472081</v>
      </c>
    </row>
    <row r="142" spans="1:11" x14ac:dyDescent="0.35">
      <c r="A142">
        <v>2018</v>
      </c>
      <c r="B142" t="s">
        <v>11</v>
      </c>
      <c r="C142" t="s">
        <v>12</v>
      </c>
      <c r="D142" t="s">
        <v>33</v>
      </c>
      <c r="E142">
        <v>12709</v>
      </c>
      <c r="F142">
        <v>77958</v>
      </c>
      <c r="G142">
        <v>3609</v>
      </c>
      <c r="H142">
        <f t="shared" si="3"/>
        <v>94276</v>
      </c>
      <c r="I142">
        <v>107621</v>
      </c>
      <c r="J142">
        <v>90406</v>
      </c>
      <c r="K142" s="1">
        <f t="shared" si="2"/>
        <v>1.0428068933477868</v>
      </c>
    </row>
    <row r="143" spans="1:11" x14ac:dyDescent="0.35">
      <c r="A143">
        <v>2019</v>
      </c>
      <c r="B143" t="s">
        <v>11</v>
      </c>
      <c r="C143" t="s">
        <v>12</v>
      </c>
      <c r="D143" t="s">
        <v>33</v>
      </c>
      <c r="E143">
        <v>13451</v>
      </c>
      <c r="F143">
        <v>78750</v>
      </c>
      <c r="G143">
        <v>3508</v>
      </c>
      <c r="H143">
        <f t="shared" si="3"/>
        <v>95709</v>
      </c>
      <c r="I143">
        <v>109807</v>
      </c>
      <c r="J143">
        <v>90487</v>
      </c>
      <c r="K143" s="1">
        <f t="shared" si="2"/>
        <v>1.0577099472852454</v>
      </c>
    </row>
    <row r="144" spans="1:11" x14ac:dyDescent="0.35">
      <c r="A144">
        <v>2020</v>
      </c>
      <c r="B144" t="s">
        <v>11</v>
      </c>
      <c r="C144" t="s">
        <v>12</v>
      </c>
      <c r="D144" t="s">
        <v>33</v>
      </c>
      <c r="E144">
        <v>13771</v>
      </c>
      <c r="F144">
        <v>80616</v>
      </c>
      <c r="G144">
        <v>3517</v>
      </c>
      <c r="H144">
        <f t="shared" si="3"/>
        <v>97904</v>
      </c>
      <c r="I144">
        <v>112097</v>
      </c>
      <c r="J144">
        <v>110683</v>
      </c>
      <c r="K144" s="1">
        <f t="shared" si="2"/>
        <v>0.88454414860457342</v>
      </c>
    </row>
    <row r="145" spans="1:11" x14ac:dyDescent="0.35">
      <c r="A145">
        <v>2021</v>
      </c>
      <c r="B145" t="s">
        <v>11</v>
      </c>
      <c r="C145" t="s">
        <v>12</v>
      </c>
      <c r="D145" t="s">
        <v>33</v>
      </c>
      <c r="E145">
        <v>14490</v>
      </c>
      <c r="F145">
        <v>79136</v>
      </c>
      <c r="G145">
        <v>3719</v>
      </c>
      <c r="H145">
        <f t="shared" si="3"/>
        <v>97345</v>
      </c>
      <c r="I145">
        <v>113914</v>
      </c>
      <c r="J145">
        <v>111508</v>
      </c>
      <c r="K145" s="1">
        <f t="shared" si="2"/>
        <v>0.87298669153782693</v>
      </c>
    </row>
    <row r="146" spans="1:11" x14ac:dyDescent="0.35">
      <c r="A146">
        <v>2022</v>
      </c>
      <c r="B146" t="s">
        <v>11</v>
      </c>
      <c r="C146" t="s">
        <v>12</v>
      </c>
      <c r="D146" t="s">
        <v>33</v>
      </c>
      <c r="E146">
        <v>13684</v>
      </c>
      <c r="F146">
        <v>80097</v>
      </c>
      <c r="G146">
        <v>3737</v>
      </c>
      <c r="H146">
        <f t="shared" si="3"/>
        <v>97518</v>
      </c>
      <c r="I146">
        <v>115527</v>
      </c>
      <c r="J146">
        <v>112233</v>
      </c>
      <c r="K146" s="1">
        <f t="shared" si="2"/>
        <v>0.86888882948865309</v>
      </c>
    </row>
    <row r="147" spans="1:11" x14ac:dyDescent="0.35">
      <c r="A147">
        <v>2023</v>
      </c>
      <c r="B147" t="s">
        <v>11</v>
      </c>
      <c r="C147" t="s">
        <v>12</v>
      </c>
      <c r="D147" t="s">
        <v>33</v>
      </c>
      <c r="E147">
        <v>14343</v>
      </c>
      <c r="F147">
        <v>79689</v>
      </c>
      <c r="G147">
        <v>3792</v>
      </c>
      <c r="H147">
        <f t="shared" si="3"/>
        <v>97824</v>
      </c>
      <c r="I147">
        <v>117077</v>
      </c>
      <c r="J147">
        <v>112949</v>
      </c>
      <c r="K147" s="1">
        <f t="shared" si="2"/>
        <v>0.86609000522359647</v>
      </c>
    </row>
    <row r="148" spans="1:11" x14ac:dyDescent="0.35">
      <c r="A148">
        <v>2024</v>
      </c>
      <c r="B148" t="s">
        <v>11</v>
      </c>
      <c r="C148" t="s">
        <v>12</v>
      </c>
      <c r="D148" t="s">
        <v>33</v>
      </c>
      <c r="E148">
        <v>14016</v>
      </c>
      <c r="F148">
        <v>78255</v>
      </c>
      <c r="G148">
        <v>3803</v>
      </c>
      <c r="H148">
        <f t="shared" si="3"/>
        <v>96074</v>
      </c>
      <c r="I148">
        <v>118572</v>
      </c>
      <c r="J148">
        <v>116529</v>
      </c>
      <c r="K148" s="1">
        <f t="shared" si="2"/>
        <v>0.82446429644122921</v>
      </c>
    </row>
    <row r="149" spans="1:11" x14ac:dyDescent="0.35">
      <c r="A149">
        <v>2018</v>
      </c>
      <c r="B149" t="s">
        <v>11</v>
      </c>
      <c r="C149" t="s">
        <v>12</v>
      </c>
      <c r="D149" t="s">
        <v>34</v>
      </c>
      <c r="E149">
        <v>1587</v>
      </c>
      <c r="F149">
        <v>38179</v>
      </c>
      <c r="G149">
        <v>1207</v>
      </c>
      <c r="H149">
        <f t="shared" si="3"/>
        <v>40973</v>
      </c>
      <c r="I149">
        <v>48613</v>
      </c>
      <c r="J149">
        <v>46145</v>
      </c>
      <c r="K149" s="1">
        <f t="shared" si="2"/>
        <v>0.88791851771589558</v>
      </c>
    </row>
    <row r="150" spans="1:11" x14ac:dyDescent="0.35">
      <c r="A150">
        <v>2019</v>
      </c>
      <c r="B150" t="s">
        <v>11</v>
      </c>
      <c r="C150" t="s">
        <v>12</v>
      </c>
      <c r="D150" t="s">
        <v>34</v>
      </c>
      <c r="E150">
        <v>1662</v>
      </c>
      <c r="F150">
        <v>38270</v>
      </c>
      <c r="G150">
        <v>1182</v>
      </c>
      <c r="H150">
        <f t="shared" si="3"/>
        <v>41114</v>
      </c>
      <c r="I150">
        <v>49364</v>
      </c>
      <c r="J150">
        <v>47282</v>
      </c>
      <c r="K150" s="1">
        <f t="shared" si="2"/>
        <v>0.86954866545408405</v>
      </c>
    </row>
    <row r="151" spans="1:11" x14ac:dyDescent="0.35">
      <c r="A151">
        <v>2020</v>
      </c>
      <c r="B151" t="s">
        <v>11</v>
      </c>
      <c r="C151" t="s">
        <v>12</v>
      </c>
      <c r="D151" t="s">
        <v>34</v>
      </c>
      <c r="E151">
        <v>2002</v>
      </c>
      <c r="F151">
        <v>38064</v>
      </c>
      <c r="G151">
        <v>1181</v>
      </c>
      <c r="H151">
        <f t="shared" si="3"/>
        <v>41247</v>
      </c>
      <c r="I151">
        <v>50255</v>
      </c>
      <c r="J151">
        <v>48238</v>
      </c>
      <c r="K151" s="1">
        <f t="shared" si="2"/>
        <v>0.85507276421078815</v>
      </c>
    </row>
    <row r="152" spans="1:11" x14ac:dyDescent="0.35">
      <c r="A152">
        <v>2021</v>
      </c>
      <c r="B152" t="s">
        <v>11</v>
      </c>
      <c r="C152" t="s">
        <v>12</v>
      </c>
      <c r="D152" t="s">
        <v>34</v>
      </c>
      <c r="E152">
        <v>2415</v>
      </c>
      <c r="F152">
        <v>37919</v>
      </c>
      <c r="G152">
        <v>1225</v>
      </c>
      <c r="H152">
        <f t="shared" si="3"/>
        <v>41559</v>
      </c>
      <c r="I152">
        <v>50878</v>
      </c>
      <c r="J152">
        <v>48597</v>
      </c>
      <c r="K152" s="1">
        <f t="shared" si="2"/>
        <v>0.85517624544724979</v>
      </c>
    </row>
    <row r="153" spans="1:11" x14ac:dyDescent="0.35">
      <c r="A153">
        <v>2022</v>
      </c>
      <c r="B153" t="s">
        <v>11</v>
      </c>
      <c r="C153" t="s">
        <v>12</v>
      </c>
      <c r="D153" t="s">
        <v>34</v>
      </c>
      <c r="E153">
        <v>2614</v>
      </c>
      <c r="F153">
        <v>37567</v>
      </c>
      <c r="G153">
        <v>1205</v>
      </c>
      <c r="H153">
        <f t="shared" si="3"/>
        <v>41386</v>
      </c>
      <c r="I153">
        <v>51349</v>
      </c>
      <c r="J153">
        <v>48913</v>
      </c>
      <c r="K153" s="1">
        <f t="shared" si="2"/>
        <v>0.84611452987958213</v>
      </c>
    </row>
    <row r="154" spans="1:11" x14ac:dyDescent="0.35">
      <c r="A154">
        <v>2023</v>
      </c>
      <c r="B154" t="s">
        <v>11</v>
      </c>
      <c r="C154" t="s">
        <v>12</v>
      </c>
      <c r="D154" t="s">
        <v>34</v>
      </c>
      <c r="E154">
        <v>2801</v>
      </c>
      <c r="F154">
        <v>37298</v>
      </c>
      <c r="G154">
        <v>1188</v>
      </c>
      <c r="H154">
        <f t="shared" si="3"/>
        <v>41287</v>
      </c>
      <c r="I154">
        <v>51786</v>
      </c>
      <c r="J154">
        <v>49262</v>
      </c>
      <c r="K154" s="1">
        <f t="shared" si="2"/>
        <v>0.83811051114449275</v>
      </c>
    </row>
    <row r="155" spans="1:11" x14ac:dyDescent="0.35">
      <c r="A155">
        <v>2024</v>
      </c>
      <c r="B155" t="s">
        <v>11</v>
      </c>
      <c r="C155" t="s">
        <v>12</v>
      </c>
      <c r="D155" t="s">
        <v>34</v>
      </c>
      <c r="E155">
        <v>2923</v>
      </c>
      <c r="F155">
        <v>37215</v>
      </c>
      <c r="G155">
        <v>1182</v>
      </c>
      <c r="H155">
        <f t="shared" si="3"/>
        <v>41320</v>
      </c>
      <c r="I155">
        <v>52225</v>
      </c>
      <c r="J155">
        <v>50985</v>
      </c>
      <c r="K155" s="1">
        <f t="shared" si="2"/>
        <v>0.81043444150240262</v>
      </c>
    </row>
    <row r="156" spans="1:11" x14ac:dyDescent="0.35">
      <c r="A156">
        <v>2018</v>
      </c>
      <c r="B156" t="s">
        <v>11</v>
      </c>
      <c r="C156" t="s">
        <v>12</v>
      </c>
      <c r="D156" t="s">
        <v>35</v>
      </c>
      <c r="E156">
        <v>2122</v>
      </c>
      <c r="F156">
        <v>24690</v>
      </c>
      <c r="G156">
        <v>517</v>
      </c>
      <c r="H156">
        <f t="shared" si="3"/>
        <v>27329</v>
      </c>
      <c r="I156">
        <v>33874</v>
      </c>
      <c r="J156">
        <v>33096</v>
      </c>
      <c r="K156" s="1">
        <f t="shared" si="2"/>
        <v>0.82574933526710181</v>
      </c>
    </row>
    <row r="157" spans="1:11" x14ac:dyDescent="0.35">
      <c r="A157">
        <v>2019</v>
      </c>
      <c r="B157" t="s">
        <v>11</v>
      </c>
      <c r="C157" t="s">
        <v>12</v>
      </c>
      <c r="D157" t="s">
        <v>35</v>
      </c>
      <c r="E157">
        <v>2375</v>
      </c>
      <c r="F157">
        <v>24837</v>
      </c>
      <c r="G157">
        <v>495</v>
      </c>
      <c r="H157">
        <f t="shared" si="3"/>
        <v>27707</v>
      </c>
      <c r="I157">
        <v>34867</v>
      </c>
      <c r="J157">
        <v>33662</v>
      </c>
      <c r="K157" s="1">
        <f t="shared" si="2"/>
        <v>0.82309429029766501</v>
      </c>
    </row>
    <row r="158" spans="1:11" x14ac:dyDescent="0.35">
      <c r="A158">
        <v>2020</v>
      </c>
      <c r="B158" t="s">
        <v>11</v>
      </c>
      <c r="C158" t="s">
        <v>12</v>
      </c>
      <c r="D158" t="s">
        <v>35</v>
      </c>
      <c r="E158">
        <v>2877</v>
      </c>
      <c r="F158">
        <v>24848</v>
      </c>
      <c r="G158">
        <v>482</v>
      </c>
      <c r="H158">
        <f t="shared" si="3"/>
        <v>28207</v>
      </c>
      <c r="I158">
        <v>35934</v>
      </c>
      <c r="J158">
        <v>35181</v>
      </c>
      <c r="K158" s="1">
        <f t="shared" si="2"/>
        <v>0.80176799977260449</v>
      </c>
    </row>
    <row r="159" spans="1:11" x14ac:dyDescent="0.35">
      <c r="A159">
        <v>2021</v>
      </c>
      <c r="B159" t="s">
        <v>11</v>
      </c>
      <c r="C159" t="s">
        <v>12</v>
      </c>
      <c r="D159" t="s">
        <v>35</v>
      </c>
      <c r="E159">
        <v>3124</v>
      </c>
      <c r="F159">
        <v>25183</v>
      </c>
      <c r="G159">
        <v>489</v>
      </c>
      <c r="H159">
        <f t="shared" si="3"/>
        <v>28796</v>
      </c>
      <c r="I159">
        <v>36757</v>
      </c>
      <c r="J159">
        <v>35447</v>
      </c>
      <c r="K159" s="1">
        <f t="shared" si="2"/>
        <v>0.81236776031822155</v>
      </c>
    </row>
    <row r="160" spans="1:11" x14ac:dyDescent="0.35">
      <c r="A160">
        <v>2022</v>
      </c>
      <c r="B160" t="s">
        <v>11</v>
      </c>
      <c r="C160" t="s">
        <v>12</v>
      </c>
      <c r="D160" t="s">
        <v>35</v>
      </c>
      <c r="E160">
        <v>3333</v>
      </c>
      <c r="F160">
        <v>25440</v>
      </c>
      <c r="G160">
        <v>480</v>
      </c>
      <c r="H160">
        <f t="shared" si="3"/>
        <v>29253</v>
      </c>
      <c r="I160">
        <v>37463</v>
      </c>
      <c r="J160">
        <v>35678</v>
      </c>
      <c r="K160" s="1">
        <f t="shared" si="2"/>
        <v>0.81991703570827956</v>
      </c>
    </row>
    <row r="161" spans="1:11" x14ac:dyDescent="0.35">
      <c r="A161">
        <v>2023</v>
      </c>
      <c r="B161" t="s">
        <v>11</v>
      </c>
      <c r="C161" t="s">
        <v>12</v>
      </c>
      <c r="D161" t="s">
        <v>35</v>
      </c>
      <c r="E161">
        <v>3390</v>
      </c>
      <c r="F161">
        <v>25721</v>
      </c>
      <c r="G161">
        <v>495</v>
      </c>
      <c r="H161">
        <f t="shared" si="3"/>
        <v>29606</v>
      </c>
      <c r="I161">
        <v>38127</v>
      </c>
      <c r="J161">
        <v>35895</v>
      </c>
      <c r="K161" s="1">
        <f t="shared" si="2"/>
        <v>0.82479453962947491</v>
      </c>
    </row>
    <row r="162" spans="1:11" x14ac:dyDescent="0.35">
      <c r="A162">
        <v>2024</v>
      </c>
      <c r="B162" t="s">
        <v>11</v>
      </c>
      <c r="C162" t="s">
        <v>12</v>
      </c>
      <c r="D162" t="s">
        <v>35</v>
      </c>
      <c r="E162">
        <v>3661</v>
      </c>
      <c r="F162">
        <v>25852</v>
      </c>
      <c r="G162">
        <v>482</v>
      </c>
      <c r="H162">
        <f t="shared" si="3"/>
        <v>29995</v>
      </c>
      <c r="I162">
        <v>38802</v>
      </c>
      <c r="J162">
        <v>36718</v>
      </c>
      <c r="K162" s="1">
        <f t="shared" si="2"/>
        <v>0.81690179203660329</v>
      </c>
    </row>
    <row r="163" spans="1:11" x14ac:dyDescent="0.35">
      <c r="A163">
        <v>2018</v>
      </c>
      <c r="B163" t="s">
        <v>11</v>
      </c>
      <c r="C163" t="s">
        <v>12</v>
      </c>
      <c r="D163" t="s">
        <v>36</v>
      </c>
      <c r="E163">
        <v>1566</v>
      </c>
      <c r="F163">
        <v>29971</v>
      </c>
      <c r="G163">
        <v>739</v>
      </c>
      <c r="H163">
        <f t="shared" si="3"/>
        <v>32276</v>
      </c>
      <c r="I163">
        <v>36999</v>
      </c>
      <c r="J163">
        <v>35874</v>
      </c>
      <c r="K163" s="1">
        <f t="shared" si="2"/>
        <v>0.89970452138038692</v>
      </c>
    </row>
    <row r="164" spans="1:11" x14ac:dyDescent="0.35">
      <c r="A164">
        <v>2019</v>
      </c>
      <c r="B164" t="s">
        <v>11</v>
      </c>
      <c r="C164" t="s">
        <v>12</v>
      </c>
      <c r="D164" t="s">
        <v>36</v>
      </c>
      <c r="E164">
        <v>2117</v>
      </c>
      <c r="F164">
        <v>29354</v>
      </c>
      <c r="G164">
        <v>723</v>
      </c>
      <c r="H164">
        <f t="shared" si="3"/>
        <v>32194</v>
      </c>
      <c r="I164">
        <v>37813</v>
      </c>
      <c r="J164">
        <v>36200</v>
      </c>
      <c r="K164" s="1">
        <f t="shared" si="2"/>
        <v>0.88933701657458564</v>
      </c>
    </row>
    <row r="165" spans="1:11" x14ac:dyDescent="0.35">
      <c r="A165">
        <v>2020</v>
      </c>
      <c r="B165" t="s">
        <v>11</v>
      </c>
      <c r="C165" t="s">
        <v>12</v>
      </c>
      <c r="D165" t="s">
        <v>36</v>
      </c>
      <c r="E165">
        <v>2013</v>
      </c>
      <c r="F165">
        <v>29823</v>
      </c>
      <c r="G165">
        <v>708</v>
      </c>
      <c r="H165">
        <f t="shared" si="3"/>
        <v>32544</v>
      </c>
      <c r="I165">
        <v>38682</v>
      </c>
      <c r="J165">
        <v>37226</v>
      </c>
      <c r="K165" s="1">
        <f t="shared" si="2"/>
        <v>0.87422769032396708</v>
      </c>
    </row>
    <row r="166" spans="1:11" x14ac:dyDescent="0.35">
      <c r="A166">
        <v>2021</v>
      </c>
      <c r="B166" t="s">
        <v>11</v>
      </c>
      <c r="C166" t="s">
        <v>12</v>
      </c>
      <c r="D166" t="s">
        <v>36</v>
      </c>
      <c r="E166">
        <v>2303</v>
      </c>
      <c r="F166">
        <v>29902</v>
      </c>
      <c r="G166">
        <v>710</v>
      </c>
      <c r="H166">
        <f t="shared" si="3"/>
        <v>32915</v>
      </c>
      <c r="I166">
        <v>39356</v>
      </c>
      <c r="J166">
        <v>37503</v>
      </c>
      <c r="K166" s="1">
        <f t="shared" si="2"/>
        <v>0.87766312028371063</v>
      </c>
    </row>
    <row r="167" spans="1:11" x14ac:dyDescent="0.35">
      <c r="A167">
        <v>2022</v>
      </c>
      <c r="B167" t="s">
        <v>11</v>
      </c>
      <c r="C167" t="s">
        <v>12</v>
      </c>
      <c r="D167" t="s">
        <v>36</v>
      </c>
      <c r="E167">
        <v>2391</v>
      </c>
      <c r="F167">
        <v>29925</v>
      </c>
      <c r="G167">
        <v>710</v>
      </c>
      <c r="H167">
        <f t="shared" si="3"/>
        <v>33026</v>
      </c>
      <c r="I167">
        <v>39916</v>
      </c>
      <c r="J167">
        <v>37747</v>
      </c>
      <c r="K167" s="1">
        <f t="shared" si="2"/>
        <v>0.87493045804964631</v>
      </c>
    </row>
    <row r="168" spans="1:11" x14ac:dyDescent="0.35">
      <c r="A168">
        <v>2023</v>
      </c>
      <c r="B168" t="s">
        <v>11</v>
      </c>
      <c r="C168" t="s">
        <v>12</v>
      </c>
      <c r="D168" t="s">
        <v>36</v>
      </c>
      <c r="E168">
        <v>2639</v>
      </c>
      <c r="F168">
        <v>30066</v>
      </c>
      <c r="G168">
        <v>703</v>
      </c>
      <c r="H168">
        <f t="shared" si="3"/>
        <v>33408</v>
      </c>
      <c r="I168">
        <v>40394</v>
      </c>
      <c r="J168">
        <v>37990</v>
      </c>
      <c r="K168" s="1">
        <f t="shared" si="2"/>
        <v>0.87938931297709921</v>
      </c>
    </row>
    <row r="169" spans="1:11" x14ac:dyDescent="0.35">
      <c r="A169">
        <v>2024</v>
      </c>
      <c r="B169" t="s">
        <v>11</v>
      </c>
      <c r="C169" t="s">
        <v>12</v>
      </c>
      <c r="D169" t="s">
        <v>36</v>
      </c>
      <c r="E169">
        <v>2783</v>
      </c>
      <c r="F169">
        <v>29958</v>
      </c>
      <c r="G169">
        <v>694</v>
      </c>
      <c r="H169">
        <f t="shared" si="3"/>
        <v>33435</v>
      </c>
      <c r="I169">
        <v>40897</v>
      </c>
      <c r="J169">
        <v>40228</v>
      </c>
      <c r="K169" s="1">
        <f t="shared" si="2"/>
        <v>0.83113751615789999</v>
      </c>
    </row>
    <row r="170" spans="1:11" x14ac:dyDescent="0.35">
      <c r="A170">
        <v>2018</v>
      </c>
      <c r="B170" t="s">
        <v>11</v>
      </c>
      <c r="C170" t="s">
        <v>12</v>
      </c>
      <c r="D170" t="s">
        <v>37</v>
      </c>
      <c r="E170">
        <v>708</v>
      </c>
      <c r="F170">
        <v>18171</v>
      </c>
      <c r="G170">
        <v>253</v>
      </c>
      <c r="H170">
        <f t="shared" si="3"/>
        <v>19132</v>
      </c>
      <c r="I170">
        <v>26959</v>
      </c>
      <c r="J170">
        <v>28236</v>
      </c>
      <c r="K170" s="1">
        <f t="shared" si="2"/>
        <v>0.67757472729848423</v>
      </c>
    </row>
    <row r="171" spans="1:11" x14ac:dyDescent="0.35">
      <c r="A171">
        <v>2019</v>
      </c>
      <c r="B171" t="s">
        <v>11</v>
      </c>
      <c r="C171" t="s">
        <v>12</v>
      </c>
      <c r="D171" t="s">
        <v>37</v>
      </c>
      <c r="E171">
        <v>782</v>
      </c>
      <c r="F171">
        <v>17885</v>
      </c>
      <c r="G171">
        <v>243</v>
      </c>
      <c r="H171">
        <f t="shared" si="3"/>
        <v>18910</v>
      </c>
      <c r="I171">
        <v>27364</v>
      </c>
      <c r="J171">
        <v>28597</v>
      </c>
      <c r="K171" s="1">
        <f t="shared" si="2"/>
        <v>0.66125817393432873</v>
      </c>
    </row>
    <row r="172" spans="1:11" x14ac:dyDescent="0.35">
      <c r="A172">
        <v>2020</v>
      </c>
      <c r="B172" t="s">
        <v>11</v>
      </c>
      <c r="C172" t="s">
        <v>12</v>
      </c>
      <c r="D172" t="s">
        <v>37</v>
      </c>
      <c r="E172">
        <v>912</v>
      </c>
      <c r="F172">
        <v>17995</v>
      </c>
      <c r="G172">
        <v>228</v>
      </c>
      <c r="H172">
        <f t="shared" si="3"/>
        <v>19135</v>
      </c>
      <c r="I172">
        <v>27783</v>
      </c>
      <c r="J172">
        <v>27479</v>
      </c>
      <c r="K172" s="1">
        <f t="shared" si="2"/>
        <v>0.69634993995414685</v>
      </c>
    </row>
    <row r="173" spans="1:11" x14ac:dyDescent="0.35">
      <c r="A173">
        <v>2021</v>
      </c>
      <c r="B173" t="s">
        <v>11</v>
      </c>
      <c r="C173" t="s">
        <v>12</v>
      </c>
      <c r="D173" t="s">
        <v>37</v>
      </c>
      <c r="E173">
        <v>1100</v>
      </c>
      <c r="F173">
        <v>17766</v>
      </c>
      <c r="G173">
        <v>231</v>
      </c>
      <c r="H173">
        <f t="shared" si="3"/>
        <v>19097</v>
      </c>
      <c r="I173">
        <v>28063</v>
      </c>
      <c r="J173">
        <v>27684</v>
      </c>
      <c r="K173" s="1">
        <f t="shared" si="2"/>
        <v>0.68982083513943071</v>
      </c>
    </row>
    <row r="174" spans="1:11" x14ac:dyDescent="0.35">
      <c r="A174">
        <v>2022</v>
      </c>
      <c r="B174" t="s">
        <v>11</v>
      </c>
      <c r="C174" t="s">
        <v>12</v>
      </c>
      <c r="D174" t="s">
        <v>37</v>
      </c>
      <c r="E174">
        <v>1088</v>
      </c>
      <c r="F174">
        <v>17742</v>
      </c>
      <c r="G174">
        <v>223</v>
      </c>
      <c r="H174">
        <f t="shared" si="3"/>
        <v>19053</v>
      </c>
      <c r="I174">
        <v>28314</v>
      </c>
      <c r="J174">
        <v>27864</v>
      </c>
      <c r="K174" s="1">
        <f t="shared" si="2"/>
        <v>0.68378552971576223</v>
      </c>
    </row>
    <row r="175" spans="1:11" x14ac:dyDescent="0.35">
      <c r="A175">
        <v>2023</v>
      </c>
      <c r="B175" t="s">
        <v>11</v>
      </c>
      <c r="C175" t="s">
        <v>12</v>
      </c>
      <c r="D175" t="s">
        <v>37</v>
      </c>
      <c r="E175">
        <v>1074</v>
      </c>
      <c r="F175">
        <v>17451</v>
      </c>
      <c r="G175">
        <v>219</v>
      </c>
      <c r="H175">
        <f t="shared" si="3"/>
        <v>18744</v>
      </c>
      <c r="I175">
        <v>28531</v>
      </c>
      <c r="J175">
        <v>28072</v>
      </c>
      <c r="K175" s="1">
        <f t="shared" si="2"/>
        <v>0.66771159874608155</v>
      </c>
    </row>
    <row r="176" spans="1:11" x14ac:dyDescent="0.35">
      <c r="A176">
        <v>2024</v>
      </c>
      <c r="B176" t="s">
        <v>11</v>
      </c>
      <c r="C176" t="s">
        <v>12</v>
      </c>
      <c r="D176" t="s">
        <v>37</v>
      </c>
      <c r="E176">
        <v>1082</v>
      </c>
      <c r="F176">
        <v>17098</v>
      </c>
      <c r="G176">
        <v>214</v>
      </c>
      <c r="H176">
        <f t="shared" si="3"/>
        <v>18394</v>
      </c>
      <c r="I176">
        <v>28745</v>
      </c>
      <c r="J176">
        <v>29334</v>
      </c>
      <c r="K176" s="1">
        <f t="shared" ref="K176:K242" si="4">+H176/J176</f>
        <v>0.62705393059248649</v>
      </c>
    </row>
    <row r="177" spans="1:11" x14ac:dyDescent="0.35">
      <c r="A177">
        <v>2018</v>
      </c>
      <c r="B177" t="s">
        <v>11</v>
      </c>
      <c r="C177" t="s">
        <v>12</v>
      </c>
      <c r="D177" t="s">
        <v>38</v>
      </c>
      <c r="E177">
        <v>187</v>
      </c>
      <c r="F177">
        <v>7298</v>
      </c>
      <c r="G177">
        <v>0</v>
      </c>
      <c r="H177">
        <f t="shared" si="3"/>
        <v>7485</v>
      </c>
      <c r="I177">
        <v>13344</v>
      </c>
      <c r="J177">
        <v>11549</v>
      </c>
      <c r="K177" s="1">
        <f t="shared" si="4"/>
        <v>0.648108061304009</v>
      </c>
    </row>
    <row r="178" spans="1:11" x14ac:dyDescent="0.35">
      <c r="A178">
        <v>2019</v>
      </c>
      <c r="B178" t="s">
        <v>11</v>
      </c>
      <c r="C178" t="s">
        <v>12</v>
      </c>
      <c r="D178" t="s">
        <v>38</v>
      </c>
      <c r="E178">
        <v>331</v>
      </c>
      <c r="F178">
        <v>7305</v>
      </c>
      <c r="G178">
        <v>4</v>
      </c>
      <c r="H178">
        <f t="shared" si="3"/>
        <v>7640</v>
      </c>
      <c r="I178">
        <v>13695</v>
      </c>
      <c r="J178">
        <v>11742</v>
      </c>
      <c r="K178" s="1">
        <f t="shared" si="4"/>
        <v>0.65065576562766136</v>
      </c>
    </row>
    <row r="179" spans="1:11" x14ac:dyDescent="0.35">
      <c r="A179">
        <v>2020</v>
      </c>
      <c r="B179" t="s">
        <v>11</v>
      </c>
      <c r="C179" t="s">
        <v>12</v>
      </c>
      <c r="D179" t="s">
        <v>38</v>
      </c>
      <c r="E179">
        <v>510</v>
      </c>
      <c r="F179">
        <v>7127</v>
      </c>
      <c r="G179">
        <v>4</v>
      </c>
      <c r="H179">
        <f t="shared" si="3"/>
        <v>7641</v>
      </c>
      <c r="I179">
        <v>14084</v>
      </c>
      <c r="J179">
        <v>13872</v>
      </c>
      <c r="K179" s="1">
        <f t="shared" si="4"/>
        <v>0.55082179930795849</v>
      </c>
    </row>
    <row r="180" spans="1:11" x14ac:dyDescent="0.35">
      <c r="A180">
        <v>2021</v>
      </c>
      <c r="B180" t="s">
        <v>11</v>
      </c>
      <c r="C180" t="s">
        <v>12</v>
      </c>
      <c r="D180" t="s">
        <v>38</v>
      </c>
      <c r="E180">
        <v>475</v>
      </c>
      <c r="F180">
        <v>7413</v>
      </c>
      <c r="G180">
        <v>8</v>
      </c>
      <c r="H180">
        <f t="shared" si="3"/>
        <v>7896</v>
      </c>
      <c r="I180">
        <v>14418</v>
      </c>
      <c r="J180">
        <v>13976</v>
      </c>
      <c r="K180" s="1">
        <f t="shared" si="4"/>
        <v>0.5649685174585003</v>
      </c>
    </row>
    <row r="181" spans="1:11" x14ac:dyDescent="0.35">
      <c r="A181">
        <v>2022</v>
      </c>
      <c r="B181" t="s">
        <v>11</v>
      </c>
      <c r="C181" t="s">
        <v>12</v>
      </c>
      <c r="D181" t="s">
        <v>38</v>
      </c>
      <c r="E181">
        <v>513</v>
      </c>
      <c r="F181">
        <v>7698</v>
      </c>
      <c r="G181">
        <v>12</v>
      </c>
      <c r="H181">
        <f t="shared" si="3"/>
        <v>8223</v>
      </c>
      <c r="I181">
        <v>14685</v>
      </c>
      <c r="J181">
        <v>14067</v>
      </c>
      <c r="K181" s="1">
        <f t="shared" si="4"/>
        <v>0.58455960759223713</v>
      </c>
    </row>
    <row r="182" spans="1:11" x14ac:dyDescent="0.35">
      <c r="A182">
        <v>2023</v>
      </c>
      <c r="B182" t="s">
        <v>11</v>
      </c>
      <c r="C182" t="s">
        <v>12</v>
      </c>
      <c r="D182" t="s">
        <v>38</v>
      </c>
      <c r="E182">
        <v>495</v>
      </c>
      <c r="F182">
        <v>7919</v>
      </c>
      <c r="G182">
        <v>54</v>
      </c>
      <c r="H182">
        <f t="shared" si="3"/>
        <v>8468</v>
      </c>
      <c r="I182">
        <v>14981</v>
      </c>
      <c r="J182">
        <v>14156</v>
      </c>
      <c r="K182" s="1">
        <f t="shared" si="4"/>
        <v>0.59819157954224356</v>
      </c>
    </row>
    <row r="183" spans="1:11" x14ac:dyDescent="0.35">
      <c r="A183">
        <v>2024</v>
      </c>
      <c r="B183" t="s">
        <v>11</v>
      </c>
      <c r="C183" t="s">
        <v>12</v>
      </c>
      <c r="D183" t="s">
        <v>38</v>
      </c>
      <c r="E183">
        <v>592</v>
      </c>
      <c r="F183">
        <v>8078</v>
      </c>
      <c r="G183">
        <v>75</v>
      </c>
      <c r="H183">
        <f t="shared" si="3"/>
        <v>8745</v>
      </c>
      <c r="I183">
        <v>15244</v>
      </c>
      <c r="J183">
        <v>14762</v>
      </c>
      <c r="K183" s="1">
        <f t="shared" si="4"/>
        <v>0.59239940387481371</v>
      </c>
    </row>
    <row r="184" spans="1:11" x14ac:dyDescent="0.35">
      <c r="A184">
        <v>2018</v>
      </c>
      <c r="B184" t="s">
        <v>11</v>
      </c>
      <c r="C184" t="s">
        <v>12</v>
      </c>
      <c r="D184" t="s">
        <v>39</v>
      </c>
      <c r="E184">
        <v>2413</v>
      </c>
      <c r="F184">
        <v>33820</v>
      </c>
      <c r="G184">
        <v>736</v>
      </c>
      <c r="H184">
        <f t="shared" si="3"/>
        <v>36969</v>
      </c>
      <c r="I184">
        <v>51852</v>
      </c>
      <c r="J184">
        <v>44972</v>
      </c>
      <c r="K184" s="1">
        <f t="shared" si="4"/>
        <v>0.82204482789291111</v>
      </c>
    </row>
    <row r="185" spans="1:11" x14ac:dyDescent="0.35">
      <c r="A185">
        <v>2019</v>
      </c>
      <c r="B185" t="s">
        <v>11</v>
      </c>
      <c r="C185" t="s">
        <v>12</v>
      </c>
      <c r="D185" t="s">
        <v>39</v>
      </c>
      <c r="E185">
        <v>2579</v>
      </c>
      <c r="F185">
        <v>34064</v>
      </c>
      <c r="G185">
        <v>708</v>
      </c>
      <c r="H185">
        <f t="shared" si="3"/>
        <v>37351</v>
      </c>
      <c r="I185">
        <v>53060</v>
      </c>
      <c r="J185">
        <v>45396</v>
      </c>
      <c r="K185" s="1">
        <f t="shared" si="4"/>
        <v>0.82278174288483563</v>
      </c>
    </row>
    <row r="186" spans="1:11" x14ac:dyDescent="0.35">
      <c r="A186">
        <v>2020</v>
      </c>
      <c r="B186" t="s">
        <v>11</v>
      </c>
      <c r="C186" t="s">
        <v>12</v>
      </c>
      <c r="D186" t="s">
        <v>39</v>
      </c>
      <c r="E186">
        <v>2841</v>
      </c>
      <c r="F186">
        <v>33999</v>
      </c>
      <c r="G186">
        <v>725</v>
      </c>
      <c r="H186">
        <f t="shared" si="3"/>
        <v>37565</v>
      </c>
      <c r="I186">
        <v>54279</v>
      </c>
      <c r="J186">
        <v>53210</v>
      </c>
      <c r="K186" s="1">
        <f t="shared" si="4"/>
        <v>0.70597632024055623</v>
      </c>
    </row>
    <row r="187" spans="1:11" x14ac:dyDescent="0.35">
      <c r="A187">
        <v>2021</v>
      </c>
      <c r="B187" t="s">
        <v>11</v>
      </c>
      <c r="C187" t="s">
        <v>12</v>
      </c>
      <c r="D187" t="s">
        <v>39</v>
      </c>
      <c r="E187">
        <v>3118</v>
      </c>
      <c r="F187">
        <v>33675</v>
      </c>
      <c r="G187">
        <v>695</v>
      </c>
      <c r="H187">
        <f t="shared" si="3"/>
        <v>37488</v>
      </c>
      <c r="I187">
        <v>55304</v>
      </c>
      <c r="J187">
        <v>53606</v>
      </c>
      <c r="K187" s="1">
        <f t="shared" si="4"/>
        <v>0.69932470245867995</v>
      </c>
    </row>
    <row r="188" spans="1:11" x14ac:dyDescent="0.35">
      <c r="A188">
        <v>2022</v>
      </c>
      <c r="B188" t="s">
        <v>11</v>
      </c>
      <c r="C188" t="s">
        <v>12</v>
      </c>
      <c r="D188" t="s">
        <v>39</v>
      </c>
      <c r="E188">
        <v>3154</v>
      </c>
      <c r="F188">
        <v>33664</v>
      </c>
      <c r="G188">
        <v>689</v>
      </c>
      <c r="H188">
        <f t="shared" si="3"/>
        <v>37507</v>
      </c>
      <c r="I188">
        <v>56150</v>
      </c>
      <c r="J188">
        <v>53955</v>
      </c>
      <c r="K188" s="1">
        <f t="shared" si="4"/>
        <v>0.69515336854786391</v>
      </c>
    </row>
    <row r="189" spans="1:11" x14ac:dyDescent="0.35">
      <c r="A189">
        <v>2023</v>
      </c>
      <c r="B189" t="s">
        <v>11</v>
      </c>
      <c r="C189" t="s">
        <v>12</v>
      </c>
      <c r="D189" t="s">
        <v>39</v>
      </c>
      <c r="E189">
        <v>3284</v>
      </c>
      <c r="F189">
        <v>33700</v>
      </c>
      <c r="G189">
        <v>677</v>
      </c>
      <c r="H189">
        <f t="shared" si="3"/>
        <v>37661</v>
      </c>
      <c r="I189">
        <v>56999</v>
      </c>
      <c r="J189">
        <v>54346</v>
      </c>
      <c r="K189" s="1">
        <f t="shared" si="4"/>
        <v>0.6929856843189931</v>
      </c>
    </row>
    <row r="190" spans="1:11" x14ac:dyDescent="0.35">
      <c r="A190">
        <v>2024</v>
      </c>
      <c r="B190" t="s">
        <v>11</v>
      </c>
      <c r="C190" t="s">
        <v>12</v>
      </c>
      <c r="D190" t="s">
        <v>39</v>
      </c>
      <c r="E190">
        <v>3334</v>
      </c>
      <c r="F190">
        <v>33567</v>
      </c>
      <c r="G190">
        <v>662</v>
      </c>
      <c r="H190">
        <f t="shared" si="3"/>
        <v>37563</v>
      </c>
      <c r="I190">
        <v>57804</v>
      </c>
      <c r="J190">
        <v>55256</v>
      </c>
      <c r="K190" s="1">
        <f t="shared" si="4"/>
        <v>0.67979947878963376</v>
      </c>
    </row>
    <row r="191" spans="1:11" x14ac:dyDescent="0.35">
      <c r="A191">
        <v>2018</v>
      </c>
      <c r="B191" t="s">
        <v>11</v>
      </c>
      <c r="C191" t="s">
        <v>12</v>
      </c>
      <c r="D191" t="s">
        <v>40</v>
      </c>
      <c r="E191">
        <v>6516</v>
      </c>
      <c r="F191">
        <v>88632</v>
      </c>
      <c r="G191">
        <v>1651</v>
      </c>
      <c r="H191">
        <f t="shared" si="3"/>
        <v>96799</v>
      </c>
      <c r="I191">
        <v>92339</v>
      </c>
      <c r="J191">
        <v>107302</v>
      </c>
      <c r="K191" s="1">
        <f t="shared" si="4"/>
        <v>0.90211738830590293</v>
      </c>
    </row>
    <row r="192" spans="1:11" x14ac:dyDescent="0.35">
      <c r="A192">
        <v>2019</v>
      </c>
      <c r="B192" t="s">
        <v>11</v>
      </c>
      <c r="C192" t="s">
        <v>12</v>
      </c>
      <c r="D192" t="s">
        <v>40</v>
      </c>
      <c r="E192">
        <v>6852</v>
      </c>
      <c r="F192">
        <v>88261</v>
      </c>
      <c r="G192">
        <v>1619</v>
      </c>
      <c r="H192">
        <f t="shared" si="3"/>
        <v>96732</v>
      </c>
      <c r="I192">
        <v>94016</v>
      </c>
      <c r="J192">
        <v>109770</v>
      </c>
      <c r="K192" s="1">
        <f t="shared" si="4"/>
        <v>0.88122437824542221</v>
      </c>
    </row>
    <row r="193" spans="1:11" x14ac:dyDescent="0.35">
      <c r="A193">
        <v>2020</v>
      </c>
      <c r="B193" t="s">
        <v>11</v>
      </c>
      <c r="C193" t="s">
        <v>12</v>
      </c>
      <c r="D193" t="s">
        <v>40</v>
      </c>
      <c r="E193">
        <v>7615</v>
      </c>
      <c r="F193">
        <v>87985</v>
      </c>
      <c r="G193">
        <v>1634</v>
      </c>
      <c r="H193">
        <f t="shared" si="3"/>
        <v>97234</v>
      </c>
      <c r="I193">
        <v>95738</v>
      </c>
      <c r="J193">
        <v>95574</v>
      </c>
      <c r="K193" s="1">
        <f t="shared" si="4"/>
        <v>1.0173687404524243</v>
      </c>
    </row>
    <row r="194" spans="1:11" x14ac:dyDescent="0.35">
      <c r="A194">
        <v>2021</v>
      </c>
      <c r="B194" t="s">
        <v>11</v>
      </c>
      <c r="C194" t="s">
        <v>12</v>
      </c>
      <c r="D194" t="s">
        <v>40</v>
      </c>
      <c r="E194">
        <v>8869</v>
      </c>
      <c r="F194">
        <v>86749</v>
      </c>
      <c r="G194">
        <v>1688</v>
      </c>
      <c r="H194">
        <f t="shared" si="3"/>
        <v>97306</v>
      </c>
      <c r="I194">
        <v>97113</v>
      </c>
      <c r="J194">
        <v>96296</v>
      </c>
      <c r="K194" s="1">
        <f t="shared" si="4"/>
        <v>1.0104884938107501</v>
      </c>
    </row>
    <row r="195" spans="1:11" x14ac:dyDescent="0.35">
      <c r="A195">
        <v>2022</v>
      </c>
      <c r="B195" t="s">
        <v>11</v>
      </c>
      <c r="C195" t="s">
        <v>12</v>
      </c>
      <c r="D195" t="s">
        <v>40</v>
      </c>
      <c r="E195">
        <v>8188</v>
      </c>
      <c r="F195">
        <v>87566</v>
      </c>
      <c r="G195">
        <v>1713</v>
      </c>
      <c r="H195">
        <f t="shared" si="3"/>
        <v>97467</v>
      </c>
      <c r="I195">
        <v>98249</v>
      </c>
      <c r="J195">
        <v>96923</v>
      </c>
      <c r="K195" s="1">
        <f t="shared" si="4"/>
        <v>1.0056127028672246</v>
      </c>
    </row>
    <row r="196" spans="1:11" x14ac:dyDescent="0.35">
      <c r="A196">
        <v>2023</v>
      </c>
      <c r="B196" t="s">
        <v>11</v>
      </c>
      <c r="C196" t="s">
        <v>12</v>
      </c>
      <c r="D196" t="s">
        <v>40</v>
      </c>
      <c r="E196">
        <v>8102</v>
      </c>
      <c r="F196">
        <v>88304</v>
      </c>
      <c r="G196">
        <v>1795</v>
      </c>
      <c r="H196">
        <f t="shared" si="3"/>
        <v>98201</v>
      </c>
      <c r="I196">
        <v>99416</v>
      </c>
      <c r="J196">
        <v>97543</v>
      </c>
      <c r="K196" s="1">
        <f t="shared" si="4"/>
        <v>1.0067457429031299</v>
      </c>
    </row>
    <row r="197" spans="1:11" x14ac:dyDescent="0.35">
      <c r="A197">
        <v>2024</v>
      </c>
      <c r="B197" t="s">
        <v>11</v>
      </c>
      <c r="C197" t="s">
        <v>12</v>
      </c>
      <c r="D197" t="s">
        <v>40</v>
      </c>
      <c r="E197">
        <v>8767</v>
      </c>
      <c r="F197">
        <v>87158</v>
      </c>
      <c r="G197">
        <v>1821</v>
      </c>
      <c r="H197">
        <f t="shared" si="3"/>
        <v>97746</v>
      </c>
      <c r="I197">
        <v>100490</v>
      </c>
      <c r="J197">
        <v>100207</v>
      </c>
      <c r="K197" s="1">
        <f t="shared" si="4"/>
        <v>0.9754408374664445</v>
      </c>
    </row>
    <row r="198" spans="1:11" x14ac:dyDescent="0.35">
      <c r="A198">
        <v>2018</v>
      </c>
      <c r="B198" t="s">
        <v>11</v>
      </c>
      <c r="C198" t="s">
        <v>12</v>
      </c>
      <c r="D198" t="s">
        <v>41</v>
      </c>
      <c r="E198">
        <v>543</v>
      </c>
      <c r="F198">
        <v>36343</v>
      </c>
      <c r="G198">
        <v>1</v>
      </c>
      <c r="H198">
        <f t="shared" si="3"/>
        <v>36887</v>
      </c>
      <c r="I198">
        <v>52619</v>
      </c>
      <c r="J198">
        <v>40425</v>
      </c>
      <c r="K198" s="1">
        <f t="shared" si="4"/>
        <v>0.91247990105132959</v>
      </c>
    </row>
    <row r="199" spans="1:11" x14ac:dyDescent="0.35">
      <c r="A199">
        <v>2019</v>
      </c>
      <c r="B199" t="s">
        <v>11</v>
      </c>
      <c r="C199" t="s">
        <v>12</v>
      </c>
      <c r="D199" t="s">
        <v>41</v>
      </c>
      <c r="E199">
        <v>648</v>
      </c>
      <c r="F199">
        <v>36779</v>
      </c>
      <c r="G199">
        <v>4</v>
      </c>
      <c r="H199">
        <f t="shared" si="3"/>
        <v>37431</v>
      </c>
      <c r="I199">
        <v>54166</v>
      </c>
      <c r="J199">
        <v>41345</v>
      </c>
      <c r="K199" s="1">
        <f t="shared" si="4"/>
        <v>0.90533317208852337</v>
      </c>
    </row>
    <row r="200" spans="1:11" x14ac:dyDescent="0.35">
      <c r="A200">
        <v>2020</v>
      </c>
      <c r="B200" t="s">
        <v>11</v>
      </c>
      <c r="C200" t="s">
        <v>12</v>
      </c>
      <c r="D200" t="s">
        <v>41</v>
      </c>
      <c r="E200">
        <v>1038</v>
      </c>
      <c r="F200">
        <v>36689</v>
      </c>
      <c r="G200">
        <v>10</v>
      </c>
      <c r="H200">
        <f t="shared" si="3"/>
        <v>37737</v>
      </c>
      <c r="I200">
        <v>55812</v>
      </c>
      <c r="J200">
        <v>55188</v>
      </c>
      <c r="K200" s="1">
        <f t="shared" si="4"/>
        <v>0.68378995433789957</v>
      </c>
    </row>
    <row r="201" spans="1:11" x14ac:dyDescent="0.35">
      <c r="A201">
        <v>2021</v>
      </c>
      <c r="B201" t="s">
        <v>11</v>
      </c>
      <c r="C201" t="s">
        <v>12</v>
      </c>
      <c r="D201" t="s">
        <v>41</v>
      </c>
      <c r="E201">
        <v>1081</v>
      </c>
      <c r="F201">
        <v>36615</v>
      </c>
      <c r="G201">
        <v>14</v>
      </c>
      <c r="H201">
        <f t="shared" si="3"/>
        <v>37710</v>
      </c>
      <c r="I201">
        <v>57141</v>
      </c>
      <c r="J201">
        <v>55604</v>
      </c>
      <c r="K201" s="1">
        <f t="shared" si="4"/>
        <v>0.67818861952377529</v>
      </c>
    </row>
    <row r="202" spans="1:11" x14ac:dyDescent="0.35">
      <c r="A202">
        <v>2022</v>
      </c>
      <c r="B202" t="s">
        <v>11</v>
      </c>
      <c r="C202" t="s">
        <v>12</v>
      </c>
      <c r="D202" t="s">
        <v>41</v>
      </c>
      <c r="E202">
        <v>1288</v>
      </c>
      <c r="F202">
        <v>36778</v>
      </c>
      <c r="G202">
        <v>21</v>
      </c>
      <c r="H202">
        <f t="shared" si="3"/>
        <v>38087</v>
      </c>
      <c r="I202">
        <v>58274</v>
      </c>
      <c r="J202">
        <v>55966</v>
      </c>
      <c r="K202" s="1">
        <f t="shared" si="4"/>
        <v>0.68053818389736631</v>
      </c>
    </row>
    <row r="203" spans="1:11" x14ac:dyDescent="0.35">
      <c r="A203">
        <v>2023</v>
      </c>
      <c r="B203" t="s">
        <v>11</v>
      </c>
      <c r="C203" t="s">
        <v>12</v>
      </c>
      <c r="D203" t="s">
        <v>41</v>
      </c>
      <c r="E203">
        <v>1419</v>
      </c>
      <c r="F203">
        <v>37016</v>
      </c>
      <c r="G203">
        <v>34</v>
      </c>
      <c r="H203">
        <f t="shared" si="3"/>
        <v>38469</v>
      </c>
      <c r="I203">
        <v>59341</v>
      </c>
      <c r="J203">
        <v>56385</v>
      </c>
      <c r="K203" s="1">
        <f t="shared" si="4"/>
        <v>0.68225591912742756</v>
      </c>
    </row>
    <row r="204" spans="1:11" x14ac:dyDescent="0.35">
      <c r="A204">
        <v>2024</v>
      </c>
      <c r="B204" t="s">
        <v>11</v>
      </c>
      <c r="C204" t="s">
        <v>12</v>
      </c>
      <c r="D204" t="s">
        <v>41</v>
      </c>
      <c r="E204">
        <v>1748</v>
      </c>
      <c r="F204">
        <v>37129</v>
      </c>
      <c r="G204">
        <v>41</v>
      </c>
      <c r="H204">
        <f t="shared" si="3"/>
        <v>38918</v>
      </c>
      <c r="I204">
        <v>60386</v>
      </c>
      <c r="J204">
        <v>57191</v>
      </c>
      <c r="K204" s="1">
        <f t="shared" si="4"/>
        <v>0.68049168575475161</v>
      </c>
    </row>
    <row r="205" spans="1:11" x14ac:dyDescent="0.35">
      <c r="A205">
        <v>2018</v>
      </c>
      <c r="B205" t="s">
        <v>11</v>
      </c>
      <c r="C205" t="s">
        <v>12</v>
      </c>
      <c r="D205" t="s">
        <v>42</v>
      </c>
      <c r="E205">
        <v>1960</v>
      </c>
      <c r="F205">
        <v>30631</v>
      </c>
      <c r="G205">
        <v>733</v>
      </c>
      <c r="H205">
        <f t="shared" si="3"/>
        <v>33324</v>
      </c>
      <c r="I205">
        <v>35681</v>
      </c>
      <c r="J205">
        <v>45926</v>
      </c>
      <c r="K205" s="1">
        <f t="shared" si="4"/>
        <v>0.72560205548055567</v>
      </c>
    </row>
    <row r="206" spans="1:11" x14ac:dyDescent="0.35">
      <c r="A206">
        <v>2019</v>
      </c>
      <c r="B206" t="s">
        <v>11</v>
      </c>
      <c r="C206" t="s">
        <v>12</v>
      </c>
      <c r="D206" t="s">
        <v>42</v>
      </c>
      <c r="E206">
        <v>2153</v>
      </c>
      <c r="F206">
        <v>30138</v>
      </c>
      <c r="G206">
        <v>724</v>
      </c>
      <c r="H206">
        <f t="shared" si="3"/>
        <v>33015</v>
      </c>
      <c r="I206">
        <v>35988</v>
      </c>
      <c r="J206">
        <v>46897</v>
      </c>
      <c r="K206" s="1">
        <f t="shared" si="4"/>
        <v>0.70398959421711416</v>
      </c>
    </row>
    <row r="207" spans="1:11" x14ac:dyDescent="0.35">
      <c r="A207">
        <v>2020</v>
      </c>
      <c r="B207" t="s">
        <v>11</v>
      </c>
      <c r="C207" t="s">
        <v>12</v>
      </c>
      <c r="D207" t="s">
        <v>42</v>
      </c>
      <c r="E207">
        <v>2466</v>
      </c>
      <c r="F207">
        <v>30083</v>
      </c>
      <c r="G207">
        <v>723</v>
      </c>
      <c r="H207">
        <f t="shared" si="3"/>
        <v>33272</v>
      </c>
      <c r="I207">
        <v>36311</v>
      </c>
      <c r="J207">
        <v>36491</v>
      </c>
      <c r="K207" s="1">
        <f t="shared" si="4"/>
        <v>0.91178646789619355</v>
      </c>
    </row>
    <row r="208" spans="1:11" x14ac:dyDescent="0.35">
      <c r="A208">
        <v>2021</v>
      </c>
      <c r="B208" t="s">
        <v>11</v>
      </c>
      <c r="C208" t="s">
        <v>12</v>
      </c>
      <c r="D208" t="s">
        <v>42</v>
      </c>
      <c r="E208">
        <v>2874</v>
      </c>
      <c r="F208">
        <v>30002</v>
      </c>
      <c r="G208">
        <v>757</v>
      </c>
      <c r="H208">
        <f t="shared" si="3"/>
        <v>33633</v>
      </c>
      <c r="I208">
        <v>36493</v>
      </c>
      <c r="J208">
        <v>36763</v>
      </c>
      <c r="K208" s="1">
        <f t="shared" si="4"/>
        <v>0.91486004950629707</v>
      </c>
    </row>
    <row r="209" spans="1:11" x14ac:dyDescent="0.35">
      <c r="A209">
        <v>2022</v>
      </c>
      <c r="B209" t="s">
        <v>11</v>
      </c>
      <c r="C209" t="s">
        <v>12</v>
      </c>
      <c r="D209" t="s">
        <v>42</v>
      </c>
      <c r="E209">
        <v>2648</v>
      </c>
      <c r="F209">
        <v>30611</v>
      </c>
      <c r="G209">
        <v>769</v>
      </c>
      <c r="H209">
        <f t="shared" si="3"/>
        <v>34028</v>
      </c>
      <c r="I209">
        <v>36591</v>
      </c>
      <c r="J209">
        <v>37002</v>
      </c>
      <c r="K209" s="1">
        <f t="shared" si="4"/>
        <v>0.91962596616399117</v>
      </c>
    </row>
    <row r="210" spans="1:11" x14ac:dyDescent="0.35">
      <c r="A210">
        <v>2023</v>
      </c>
      <c r="B210" t="s">
        <v>11</v>
      </c>
      <c r="C210" t="s">
        <v>12</v>
      </c>
      <c r="D210" t="s">
        <v>42</v>
      </c>
      <c r="E210">
        <v>2551</v>
      </c>
      <c r="F210">
        <v>30710</v>
      </c>
      <c r="G210">
        <v>779</v>
      </c>
      <c r="H210">
        <f t="shared" si="3"/>
        <v>34040</v>
      </c>
      <c r="I210">
        <v>36658</v>
      </c>
      <c r="J210">
        <v>37239</v>
      </c>
      <c r="K210" s="1">
        <f t="shared" si="4"/>
        <v>0.91409543757888234</v>
      </c>
    </row>
    <row r="211" spans="1:11" x14ac:dyDescent="0.35">
      <c r="A211">
        <v>2024</v>
      </c>
      <c r="B211" t="s">
        <v>11</v>
      </c>
      <c r="C211" t="s">
        <v>12</v>
      </c>
      <c r="D211" t="s">
        <v>42</v>
      </c>
      <c r="E211">
        <v>2875</v>
      </c>
      <c r="F211">
        <v>29968</v>
      </c>
      <c r="G211">
        <v>782</v>
      </c>
      <c r="H211">
        <f t="shared" si="3"/>
        <v>33625</v>
      </c>
      <c r="I211">
        <v>36721</v>
      </c>
      <c r="J211">
        <v>38698</v>
      </c>
      <c r="K211" s="1">
        <f t="shared" si="4"/>
        <v>0.86890795389942632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CIFRAS MINSALUD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Garcia, Sergio Esteban</dc:creator>
  <cp:lastModifiedBy>Leon Garcia, Sergio Esteban</cp:lastModifiedBy>
  <dcterms:created xsi:type="dcterms:W3CDTF">2026-10-09T02:59:25Z</dcterms:created>
  <dcterms:modified xsi:type="dcterms:W3CDTF">2026-10-09T02:59:54Z</dcterms:modified>
</cp:coreProperties>
</file>